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4000" windowHeight="10425" activeTab="3"/>
  </bookViews>
  <sheets>
    <sheet name="Chart_Workload" sheetId="6" r:id="rId1"/>
    <sheet name="Chart_TAT_Gap" sheetId="7" r:id="rId2"/>
    <sheet name="Chart_Urgency_Share" sheetId="9" r:id="rId3"/>
    <sheet name="Chart_Sample_TAT" sheetId="10" r:id="rId4"/>
    <sheet name="Lab_Diagnostics_TAT_Project" sheetId="1" r:id="rId5"/>
    <sheet name="Master_Targets" sheetId="2" r:id="rId6"/>
    <sheet name="Analysis_KPI" sheetId="3" r:id="rId7"/>
    <sheet name="Pivot Analysis" sheetId="4" r:id="rId8"/>
  </sheets>
  <calcPr calcId="152511"/>
  <pivotCaches>
    <pivotCache cacheId="5" r:id="rId9"/>
    <pivotCache cacheId="15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" i="1" l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4" i="1"/>
  <c r="J3" i="1"/>
  <c r="J2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3" i="1"/>
  <c r="I2" i="1"/>
  <c r="D5" i="3"/>
  <c r="D4" i="3"/>
  <c r="D3" i="3"/>
  <c r="D2" i="3"/>
  <c r="C4" i="3"/>
  <c r="C5" i="3"/>
  <c r="C3" i="3"/>
  <c r="C2" i="3"/>
  <c r="B5" i="3"/>
  <c r="B3" i="3"/>
  <c r="B4" i="3"/>
  <c r="B2" i="3"/>
  <c r="G16" i="1"/>
  <c r="H16" i="1" s="1"/>
  <c r="G17" i="1"/>
  <c r="G18" i="1"/>
  <c r="G19" i="1"/>
  <c r="H19" i="1" s="1"/>
  <c r="G20" i="1"/>
  <c r="H20" i="1" s="1"/>
  <c r="G21" i="1"/>
  <c r="G22" i="1"/>
  <c r="G23" i="1"/>
  <c r="H23" i="1" s="1"/>
  <c r="G24" i="1"/>
  <c r="G25" i="1"/>
  <c r="G26" i="1"/>
  <c r="G27" i="1"/>
  <c r="H27" i="1" s="1"/>
  <c r="G28" i="1"/>
  <c r="H28" i="1" s="1"/>
  <c r="G29" i="1"/>
  <c r="G30" i="1"/>
  <c r="G31" i="1"/>
  <c r="H31" i="1" s="1"/>
  <c r="G32" i="1"/>
  <c r="H32" i="1" s="1"/>
  <c r="G33" i="1"/>
  <c r="G34" i="1"/>
  <c r="G35" i="1"/>
  <c r="H35" i="1" s="1"/>
  <c r="G36" i="1"/>
  <c r="H36" i="1" s="1"/>
  <c r="G37" i="1"/>
  <c r="G38" i="1"/>
  <c r="G39" i="1"/>
  <c r="H39" i="1" s="1"/>
  <c r="G40" i="1"/>
  <c r="G41" i="1"/>
  <c r="G42" i="1"/>
  <c r="G43" i="1"/>
  <c r="H43" i="1" s="1"/>
  <c r="G44" i="1"/>
  <c r="H44" i="1" s="1"/>
  <c r="G45" i="1"/>
  <c r="G46" i="1"/>
  <c r="G47" i="1"/>
  <c r="H47" i="1" s="1"/>
  <c r="G48" i="1"/>
  <c r="H48" i="1" s="1"/>
  <c r="G49" i="1"/>
  <c r="G50" i="1"/>
  <c r="G51" i="1"/>
  <c r="H51" i="1" s="1"/>
  <c r="G52" i="1"/>
  <c r="H52" i="1" s="1"/>
  <c r="G53" i="1"/>
  <c r="G54" i="1"/>
  <c r="G55" i="1"/>
  <c r="H55" i="1" s="1"/>
  <c r="G56" i="1"/>
  <c r="G57" i="1"/>
  <c r="G58" i="1"/>
  <c r="G59" i="1"/>
  <c r="H59" i="1" s="1"/>
  <c r="G60" i="1"/>
  <c r="H60" i="1" s="1"/>
  <c r="G61" i="1"/>
  <c r="G62" i="1"/>
  <c r="G63" i="1"/>
  <c r="H63" i="1" s="1"/>
  <c r="G64" i="1"/>
  <c r="H64" i="1" s="1"/>
  <c r="G65" i="1"/>
  <c r="G66" i="1"/>
  <c r="G67" i="1"/>
  <c r="H67" i="1" s="1"/>
  <c r="G68" i="1"/>
  <c r="H68" i="1" s="1"/>
  <c r="G69" i="1"/>
  <c r="G70" i="1"/>
  <c r="G71" i="1"/>
  <c r="H71" i="1" s="1"/>
  <c r="G72" i="1"/>
  <c r="G73" i="1"/>
  <c r="G74" i="1"/>
  <c r="G75" i="1"/>
  <c r="H75" i="1" s="1"/>
  <c r="G76" i="1"/>
  <c r="H76" i="1" s="1"/>
  <c r="G77" i="1"/>
  <c r="G78" i="1"/>
  <c r="G79" i="1"/>
  <c r="H79" i="1" s="1"/>
  <c r="G80" i="1"/>
  <c r="H80" i="1" s="1"/>
  <c r="G81" i="1"/>
  <c r="G82" i="1"/>
  <c r="G83" i="1"/>
  <c r="H83" i="1" s="1"/>
  <c r="G84" i="1"/>
  <c r="H84" i="1" s="1"/>
  <c r="G85" i="1"/>
  <c r="G86" i="1"/>
  <c r="G87" i="1"/>
  <c r="H87" i="1" s="1"/>
  <c r="G88" i="1"/>
  <c r="G89" i="1"/>
  <c r="G90" i="1"/>
  <c r="G91" i="1"/>
  <c r="H91" i="1" s="1"/>
  <c r="G92" i="1"/>
  <c r="H92" i="1" s="1"/>
  <c r="G93" i="1"/>
  <c r="G94" i="1"/>
  <c r="G95" i="1"/>
  <c r="H95" i="1" s="1"/>
  <c r="G96" i="1"/>
  <c r="H96" i="1" s="1"/>
  <c r="G97" i="1"/>
  <c r="G98" i="1"/>
  <c r="G99" i="1"/>
  <c r="H99" i="1" s="1"/>
  <c r="G100" i="1"/>
  <c r="H100" i="1" s="1"/>
  <c r="G101" i="1"/>
  <c r="G102" i="1"/>
  <c r="G103" i="1"/>
  <c r="H103" i="1" s="1"/>
  <c r="G104" i="1"/>
  <c r="G105" i="1"/>
  <c r="G106" i="1"/>
  <c r="G107" i="1"/>
  <c r="H107" i="1" s="1"/>
  <c r="G108" i="1"/>
  <c r="H108" i="1" s="1"/>
  <c r="G109" i="1"/>
  <c r="G110" i="1"/>
  <c r="G111" i="1"/>
  <c r="H111" i="1" s="1"/>
  <c r="G112" i="1"/>
  <c r="H112" i="1" s="1"/>
  <c r="G113" i="1"/>
  <c r="G114" i="1"/>
  <c r="G115" i="1"/>
  <c r="H115" i="1" s="1"/>
  <c r="G116" i="1"/>
  <c r="H116" i="1" s="1"/>
  <c r="G117" i="1"/>
  <c r="G118" i="1"/>
  <c r="G119" i="1"/>
  <c r="H119" i="1" s="1"/>
  <c r="G120" i="1"/>
  <c r="G121" i="1"/>
  <c r="G122" i="1"/>
  <c r="G123" i="1"/>
  <c r="H123" i="1" s="1"/>
  <c r="G124" i="1"/>
  <c r="H124" i="1" s="1"/>
  <c r="G125" i="1"/>
  <c r="G126" i="1"/>
  <c r="G127" i="1"/>
  <c r="H127" i="1" s="1"/>
  <c r="G128" i="1"/>
  <c r="H128" i="1" s="1"/>
  <c r="G129" i="1"/>
  <c r="G130" i="1"/>
  <c r="G131" i="1"/>
  <c r="H131" i="1" s="1"/>
  <c r="G132" i="1"/>
  <c r="H132" i="1" s="1"/>
  <c r="G133" i="1"/>
  <c r="G134" i="1"/>
  <c r="G135" i="1"/>
  <c r="H135" i="1" s="1"/>
  <c r="G136" i="1"/>
  <c r="G137" i="1"/>
  <c r="G138" i="1"/>
  <c r="G139" i="1"/>
  <c r="H139" i="1" s="1"/>
  <c r="G140" i="1"/>
  <c r="H140" i="1" s="1"/>
  <c r="G141" i="1"/>
  <c r="G142" i="1"/>
  <c r="G143" i="1"/>
  <c r="H143" i="1" s="1"/>
  <c r="G144" i="1"/>
  <c r="H144" i="1" s="1"/>
  <c r="G145" i="1"/>
  <c r="G146" i="1"/>
  <c r="G147" i="1"/>
  <c r="H147" i="1" s="1"/>
  <c r="G148" i="1"/>
  <c r="H148" i="1" s="1"/>
  <c r="G149" i="1"/>
  <c r="G150" i="1"/>
  <c r="G11" i="1"/>
  <c r="H11" i="1" s="1"/>
  <c r="G6" i="1"/>
  <c r="H6" i="1" s="1"/>
  <c r="H8" i="1"/>
  <c r="H9" i="1"/>
  <c r="H13" i="1"/>
  <c r="H14" i="1"/>
  <c r="H17" i="1"/>
  <c r="H18" i="1"/>
  <c r="H21" i="1"/>
  <c r="H22" i="1"/>
  <c r="H24" i="1"/>
  <c r="H25" i="1"/>
  <c r="H26" i="1"/>
  <c r="H29" i="1"/>
  <c r="H30" i="1"/>
  <c r="H33" i="1"/>
  <c r="H34" i="1"/>
  <c r="H37" i="1"/>
  <c r="H38" i="1"/>
  <c r="H40" i="1"/>
  <c r="H41" i="1"/>
  <c r="H42" i="1"/>
  <c r="H45" i="1"/>
  <c r="H46" i="1"/>
  <c r="H49" i="1"/>
  <c r="H50" i="1"/>
  <c r="H53" i="1"/>
  <c r="H54" i="1"/>
  <c r="H56" i="1"/>
  <c r="H57" i="1"/>
  <c r="H58" i="1"/>
  <c r="H61" i="1"/>
  <c r="H62" i="1"/>
  <c r="H65" i="1"/>
  <c r="H66" i="1"/>
  <c r="H69" i="1"/>
  <c r="H70" i="1"/>
  <c r="H72" i="1"/>
  <c r="H73" i="1"/>
  <c r="H74" i="1"/>
  <c r="H77" i="1"/>
  <c r="H78" i="1"/>
  <c r="H81" i="1"/>
  <c r="H82" i="1"/>
  <c r="H85" i="1"/>
  <c r="H86" i="1"/>
  <c r="H88" i="1"/>
  <c r="H89" i="1"/>
  <c r="H90" i="1"/>
  <c r="H93" i="1"/>
  <c r="H94" i="1"/>
  <c r="H97" i="1"/>
  <c r="H98" i="1"/>
  <c r="H101" i="1"/>
  <c r="H102" i="1"/>
  <c r="H104" i="1"/>
  <c r="H105" i="1"/>
  <c r="H106" i="1"/>
  <c r="H109" i="1"/>
  <c r="H110" i="1"/>
  <c r="H113" i="1"/>
  <c r="H114" i="1"/>
  <c r="H117" i="1"/>
  <c r="H118" i="1"/>
  <c r="H120" i="1"/>
  <c r="H121" i="1"/>
  <c r="H122" i="1"/>
  <c r="H125" i="1"/>
  <c r="H126" i="1"/>
  <c r="H129" i="1"/>
  <c r="H130" i="1"/>
  <c r="H133" i="1"/>
  <c r="H134" i="1"/>
  <c r="H136" i="1"/>
  <c r="H137" i="1"/>
  <c r="H138" i="1"/>
  <c r="H141" i="1"/>
  <c r="H142" i="1"/>
  <c r="H145" i="1"/>
  <c r="H146" i="1"/>
  <c r="H149" i="1"/>
  <c r="H150" i="1"/>
  <c r="G7" i="1"/>
  <c r="H7" i="1" s="1"/>
  <c r="G8" i="1"/>
  <c r="G9" i="1"/>
  <c r="G10" i="1"/>
  <c r="H10" i="1" s="1"/>
  <c r="G12" i="1"/>
  <c r="H12" i="1" s="1"/>
  <c r="G13" i="1"/>
  <c r="G14" i="1"/>
  <c r="G15" i="1"/>
  <c r="H15" i="1" s="1"/>
  <c r="G5" i="1"/>
  <c r="H5" i="1" s="1"/>
  <c r="G4" i="1"/>
  <c r="H4" i="1" s="1"/>
  <c r="G3" i="1"/>
  <c r="H3" i="1" s="1"/>
  <c r="G2" i="1"/>
  <c r="H2" i="1" s="1"/>
</calcChain>
</file>

<file path=xl/sharedStrings.xml><?xml version="1.0" encoding="utf-8"?>
<sst xmlns="http://schemas.openxmlformats.org/spreadsheetml/2006/main" count="815" uniqueCount="188">
  <si>
    <t>Patient_ID</t>
  </si>
  <si>
    <t>Test_Name</t>
  </si>
  <si>
    <t>Department</t>
  </si>
  <si>
    <t>Urgency</t>
  </si>
  <si>
    <t>Sample_Type</t>
  </si>
  <si>
    <t>Actual_TAT_Hours</t>
  </si>
  <si>
    <t>P-2026-01</t>
  </si>
  <si>
    <t>Blood Culture and  Sensitivity</t>
  </si>
  <si>
    <t>Microbiology</t>
  </si>
  <si>
    <t>Stat</t>
  </si>
  <si>
    <t>Whole Blood</t>
  </si>
  <si>
    <t>P-2026-03</t>
  </si>
  <si>
    <t>P-2026-02</t>
  </si>
  <si>
    <t>Urine Culture</t>
  </si>
  <si>
    <t>Routine</t>
  </si>
  <si>
    <t>Urine</t>
  </si>
  <si>
    <t>CBC (Complete Blod Count)</t>
  </si>
  <si>
    <t>Hematology</t>
  </si>
  <si>
    <t>EDTA Blood</t>
  </si>
  <si>
    <t>P-2026-04</t>
  </si>
  <si>
    <t>Sputum For AFB</t>
  </si>
  <si>
    <t>Sputum</t>
  </si>
  <si>
    <t>P-2026-05</t>
  </si>
  <si>
    <t>HBA1C</t>
  </si>
  <si>
    <t>Biochemistry</t>
  </si>
  <si>
    <t>Serum</t>
  </si>
  <si>
    <t>P-2026-06</t>
  </si>
  <si>
    <t>CSF Analysis</t>
  </si>
  <si>
    <t>CSF Fluid</t>
  </si>
  <si>
    <t>P-2026-07</t>
  </si>
  <si>
    <t>P-2026-08</t>
  </si>
  <si>
    <t>P-2026-09</t>
  </si>
  <si>
    <t>P-2026-10</t>
  </si>
  <si>
    <t>RT-PCR (Respiratory Panel)</t>
  </si>
  <si>
    <t>Molecular</t>
  </si>
  <si>
    <t>Nasopharyngeal Swab</t>
  </si>
  <si>
    <t>Stool Culture</t>
  </si>
  <si>
    <t>Stool</t>
  </si>
  <si>
    <t>Liver Function Test (LFT)</t>
  </si>
  <si>
    <t>Wound Swab Gram Stain</t>
  </si>
  <si>
    <t>Pus Swab</t>
  </si>
  <si>
    <t>P-2026-11</t>
  </si>
  <si>
    <t>P-2026-12</t>
  </si>
  <si>
    <t>P-2026-13</t>
  </si>
  <si>
    <t>P-2026-14</t>
  </si>
  <si>
    <t>P-2026-15</t>
  </si>
  <si>
    <t>P-2026-16</t>
  </si>
  <si>
    <t>P-2026-17</t>
  </si>
  <si>
    <t>P-2026-18</t>
  </si>
  <si>
    <t>P-2026-19</t>
  </si>
  <si>
    <t>P-2026-20</t>
  </si>
  <si>
    <t>P-2026-21</t>
  </si>
  <si>
    <t>P-2026-22</t>
  </si>
  <si>
    <t>P-2026-23</t>
  </si>
  <si>
    <t>P-2026-24</t>
  </si>
  <si>
    <t>P-2026-25</t>
  </si>
  <si>
    <t>P-2026-26</t>
  </si>
  <si>
    <t>P-2026-27</t>
  </si>
  <si>
    <t>P-2026-28</t>
  </si>
  <si>
    <t>P-2026-29</t>
  </si>
  <si>
    <t>P-2026-30</t>
  </si>
  <si>
    <t>P-2026-31</t>
  </si>
  <si>
    <t>P-2026-32</t>
  </si>
  <si>
    <t>P-2026-33</t>
  </si>
  <si>
    <t>P-2026-34</t>
  </si>
  <si>
    <t>P-2026-35</t>
  </si>
  <si>
    <t>P-2026-36</t>
  </si>
  <si>
    <t>P-2026-37</t>
  </si>
  <si>
    <t>P-2026-38</t>
  </si>
  <si>
    <t>P-2026-39</t>
  </si>
  <si>
    <t>P-2026-40</t>
  </si>
  <si>
    <t>P-2026-41</t>
  </si>
  <si>
    <t>P-2026-42</t>
  </si>
  <si>
    <t>P-2026-43</t>
  </si>
  <si>
    <t>P-2026-44</t>
  </si>
  <si>
    <t>P-2026-45</t>
  </si>
  <si>
    <t>P-2026-46</t>
  </si>
  <si>
    <t>P-2026-47</t>
  </si>
  <si>
    <t>P-2026-48</t>
  </si>
  <si>
    <t>P-2026-49</t>
  </si>
  <si>
    <t>P-2026-50</t>
  </si>
  <si>
    <t>P-2026-51</t>
  </si>
  <si>
    <t>P-2026-52</t>
  </si>
  <si>
    <t>P-2026-53</t>
  </si>
  <si>
    <t>P-2026-54</t>
  </si>
  <si>
    <t>P-2026-55</t>
  </si>
  <si>
    <t>P-2026-56</t>
  </si>
  <si>
    <t>P-2026-57</t>
  </si>
  <si>
    <t>P-2026-58</t>
  </si>
  <si>
    <t>P-2026-59</t>
  </si>
  <si>
    <t>P-2026-60</t>
  </si>
  <si>
    <t>P-2026-61</t>
  </si>
  <si>
    <t>P-2026-62</t>
  </si>
  <si>
    <t>P-2026-63</t>
  </si>
  <si>
    <t>P-2026-64</t>
  </si>
  <si>
    <t>P-2026-65</t>
  </si>
  <si>
    <t>P-2026-66</t>
  </si>
  <si>
    <t>P-2026-67</t>
  </si>
  <si>
    <t>P-2026-68</t>
  </si>
  <si>
    <t>P-2026-69</t>
  </si>
  <si>
    <t>P-2026-70</t>
  </si>
  <si>
    <t>P-2026-71</t>
  </si>
  <si>
    <t>P-2026-72</t>
  </si>
  <si>
    <t>P-2026-73</t>
  </si>
  <si>
    <t>P-2026-74</t>
  </si>
  <si>
    <t>P-2026-75</t>
  </si>
  <si>
    <t>P-2026-76</t>
  </si>
  <si>
    <t>P-2026-77</t>
  </si>
  <si>
    <t>P-2026-78</t>
  </si>
  <si>
    <t>P-2026-79</t>
  </si>
  <si>
    <t>P-2026-80</t>
  </si>
  <si>
    <t>P-2026-81</t>
  </si>
  <si>
    <t>P-2026-82</t>
  </si>
  <si>
    <t>P-2026-83</t>
  </si>
  <si>
    <t>P-2026-84</t>
  </si>
  <si>
    <t>P-2026-85</t>
  </si>
  <si>
    <t>P-2026-86</t>
  </si>
  <si>
    <t>P-2026-87</t>
  </si>
  <si>
    <t>P-2026-88</t>
  </si>
  <si>
    <t>P-2026-89</t>
  </si>
  <si>
    <t>P-2026-90</t>
  </si>
  <si>
    <t>P-2026-91</t>
  </si>
  <si>
    <t>P-2026-92</t>
  </si>
  <si>
    <t>P-2026-93</t>
  </si>
  <si>
    <t>P-2026-94</t>
  </si>
  <si>
    <t>P-2026-95</t>
  </si>
  <si>
    <t>P-2026-96</t>
  </si>
  <si>
    <t>P-2026-97</t>
  </si>
  <si>
    <t>P-2026-98</t>
  </si>
  <si>
    <t>P-2026-99</t>
  </si>
  <si>
    <t>P-2026-100</t>
  </si>
  <si>
    <t>P-2026-101</t>
  </si>
  <si>
    <t>P-2026-102</t>
  </si>
  <si>
    <t>P-2026-103</t>
  </si>
  <si>
    <t>P-2026-104</t>
  </si>
  <si>
    <t>P-2026-105</t>
  </si>
  <si>
    <t>P-2026-106</t>
  </si>
  <si>
    <t>P-2026-107</t>
  </si>
  <si>
    <t>P-2026-108</t>
  </si>
  <si>
    <t>P-2026-109</t>
  </si>
  <si>
    <t>P-2026-110</t>
  </si>
  <si>
    <t>P-2026-111</t>
  </si>
  <si>
    <t>P-2026-112</t>
  </si>
  <si>
    <t>P-2026-113</t>
  </si>
  <si>
    <t>P-2026-114</t>
  </si>
  <si>
    <t>P-2026-115</t>
  </si>
  <si>
    <t>P-2026-116</t>
  </si>
  <si>
    <t>P-2026-117</t>
  </si>
  <si>
    <t>P-2026-118</t>
  </si>
  <si>
    <t>P-2026-119</t>
  </si>
  <si>
    <t>P-2026-120</t>
  </si>
  <si>
    <t>P-2026-121</t>
  </si>
  <si>
    <t>P-2026-122</t>
  </si>
  <si>
    <t>P-2026-123</t>
  </si>
  <si>
    <t>P-2026-124</t>
  </si>
  <si>
    <t>P-2026-125</t>
  </si>
  <si>
    <t>P-2026-126</t>
  </si>
  <si>
    <t>P-2026-127</t>
  </si>
  <si>
    <t>P-2026-128</t>
  </si>
  <si>
    <t>P-2026-129</t>
  </si>
  <si>
    <t>P-2026-130</t>
  </si>
  <si>
    <t>P-2026-131</t>
  </si>
  <si>
    <t>P-2026-132</t>
  </si>
  <si>
    <t>P-2026-133</t>
  </si>
  <si>
    <t>P-2026-134</t>
  </si>
  <si>
    <t>P-2026-135</t>
  </si>
  <si>
    <t>P-2026-136</t>
  </si>
  <si>
    <t>Standard_Target_Hours</t>
  </si>
  <si>
    <t>Target_TAT</t>
  </si>
  <si>
    <t>Status</t>
  </si>
  <si>
    <t>Column1</t>
  </si>
  <si>
    <t>Total_Actual_Hours</t>
  </si>
  <si>
    <t>Average_Actual_Hours</t>
  </si>
  <si>
    <t>Total_Test_Counts</t>
  </si>
  <si>
    <t>Row Labels</t>
  </si>
  <si>
    <t>(blank)</t>
  </si>
  <si>
    <t>Grand Total</t>
  </si>
  <si>
    <t>Max of Actual_TAT_Hours</t>
  </si>
  <si>
    <t>Min of Actual_TAT_Hours2</t>
  </si>
  <si>
    <t>Data_Quality_ID</t>
  </si>
  <si>
    <t>Data_Error_Check</t>
  </si>
  <si>
    <t>Count of Patient_ID</t>
  </si>
  <si>
    <t>Min_TAT</t>
  </si>
  <si>
    <t>Max_TAT</t>
  </si>
  <si>
    <t>Delayed</t>
  </si>
  <si>
    <t>On-Time</t>
  </si>
  <si>
    <t>Column Labels</t>
  </si>
  <si>
    <t>Average of Actual_TAT_Hours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</si>
</sst>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4">
    <xf numFmtId="0" fontId="0" fillId="0" borderId="0" xfId="0"/>
    <xf numFmtId="1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5">
    <dxf>
      <numFmt numFmtId="1" formatCode="0"/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colors>
    <mruColors>
      <color rgb="FF1F4E79"/>
      <color rgb="FFD9534F"/>
      <color rgb="FFA6A6A6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[Lab_Diagnostics_TAT_Project 1.xlsx]Chart_Workload!PivotTable3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Workload:Total Tests by Department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8080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Chart_Workload!$B$3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808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Chart_Workload!$A$4:$A$8</c:f>
              <c:strCache>
                <c:ptCount val="4"/>
                <c:pt idx="0">
                  <c:v>Biochemistry</c:v>
                </c:pt>
                <c:pt idx="1">
                  <c:v>Hematology</c:v>
                </c:pt>
                <c:pt idx="2">
                  <c:v>Microbiology</c:v>
                </c:pt>
                <c:pt idx="3">
                  <c:v>Molecular</c:v>
                </c:pt>
              </c:strCache>
            </c:strRef>
          </c:cat>
          <c:val>
            <c:numRef>
              <c:f>Chart_Workload!$B$4:$B$8</c:f>
              <c:numCache>
                <c:formatCode>General</c:formatCode>
                <c:ptCount val="4"/>
                <c:pt idx="0">
                  <c:v>30</c:v>
                </c:pt>
                <c:pt idx="1">
                  <c:v>15</c:v>
                </c:pt>
                <c:pt idx="2">
                  <c:v>89</c:v>
                </c:pt>
                <c:pt idx="3">
                  <c:v>15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0504904"/>
        <c:axId val="550502944"/>
      </c:barChart>
      <c:catAx>
        <c:axId val="550504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502944"/>
        <c:crosses val="autoZero"/>
        <c:auto val="1"/>
        <c:lblAlgn val="ctr"/>
        <c:lblOffset val="100"/>
        <c:noMultiLvlLbl val="0"/>
      </c:catAx>
      <c:valAx>
        <c:axId val="550502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504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[Lab_Diagnostics_TAT_Project 1.xlsx]Chart_TAT_Gap!PivotTable4</c:name>
    <c:fmtId val="5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ysClr val="windowText" lastClr="000000"/>
                </a:solidFill>
              </a:rPr>
              <a:t>TAT</a:t>
            </a:r>
            <a:r>
              <a:rPr lang="en-IN" b="1" baseline="0">
                <a:solidFill>
                  <a:sysClr val="windowText" lastClr="000000"/>
                </a:solidFill>
              </a:rPr>
              <a:t> Gap Analysis:Min Vs Max Actual TAT</a:t>
            </a:r>
            <a:endParaRPr lang="en-IN" b="1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A6A6A6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rgbClr val="1F4E79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Chart_TAT_Gap!$B$3</c:f>
              <c:strCache>
                <c:ptCount val="1"/>
                <c:pt idx="0">
                  <c:v>Min_TAT</c:v>
                </c:pt>
              </c:strCache>
            </c:strRef>
          </c:tx>
          <c:spPr>
            <a:solidFill>
              <a:srgbClr val="A6A6A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Chart_TAT_Gap!$A$4:$A$8</c:f>
              <c:strCache>
                <c:ptCount val="4"/>
                <c:pt idx="0">
                  <c:v>Biochemistry</c:v>
                </c:pt>
                <c:pt idx="1">
                  <c:v>Hematology</c:v>
                </c:pt>
                <c:pt idx="2">
                  <c:v>Microbiology</c:v>
                </c:pt>
                <c:pt idx="3">
                  <c:v>Molecular</c:v>
                </c:pt>
              </c:strCache>
            </c:strRef>
          </c:cat>
          <c:val>
            <c:numRef>
              <c:f>Chart_TAT_Gap!$B$4:$B$8</c:f>
              <c:numCache>
                <c:formatCode>General</c:formatCode>
                <c:ptCount val="4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</c:numCache>
            </c:numRef>
          </c:val>
        </c:ser>
        <c:ser>
          <c:idx val="1"/>
          <c:order val="1"/>
          <c:tx>
            <c:strRef>
              <c:f>Chart_TAT_Gap!$C$3</c:f>
              <c:strCache>
                <c:ptCount val="1"/>
                <c:pt idx="0">
                  <c:v>Max_TAT</c:v>
                </c:pt>
              </c:strCache>
            </c:strRef>
          </c:tx>
          <c:spPr>
            <a:solidFill>
              <a:srgbClr val="1F4E7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Chart_TAT_Gap!$A$4:$A$8</c:f>
              <c:strCache>
                <c:ptCount val="4"/>
                <c:pt idx="0">
                  <c:v>Biochemistry</c:v>
                </c:pt>
                <c:pt idx="1">
                  <c:v>Hematology</c:v>
                </c:pt>
                <c:pt idx="2">
                  <c:v>Microbiology</c:v>
                </c:pt>
                <c:pt idx="3">
                  <c:v>Molecular</c:v>
                </c:pt>
              </c:strCache>
            </c:strRef>
          </c:cat>
          <c:val>
            <c:numRef>
              <c:f>Chart_TAT_Gap!$C$4:$C$8</c:f>
              <c:numCache>
                <c:formatCode>General</c:formatCode>
                <c:ptCount val="4"/>
                <c:pt idx="0">
                  <c:v>48</c:v>
                </c:pt>
                <c:pt idx="1">
                  <c:v>52</c:v>
                </c:pt>
                <c:pt idx="2">
                  <c:v>52</c:v>
                </c:pt>
                <c:pt idx="3">
                  <c:v>43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3262280"/>
        <c:axId val="553265808"/>
      </c:barChart>
      <c:catAx>
        <c:axId val="553262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265808"/>
        <c:crosses val="autoZero"/>
        <c:auto val="1"/>
        <c:lblAlgn val="ctr"/>
        <c:lblOffset val="100"/>
        <c:noMultiLvlLbl val="0"/>
      </c:catAx>
      <c:valAx>
        <c:axId val="553265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262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[Lab_Diagnostics_TAT_Project 1.xlsx]Chart_Urgency_Share!PivotTable6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IN" b="1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Urgency</a:t>
            </a:r>
            <a:r>
              <a:rPr lang="en-IN" b="1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Performance:On-Time Vs Delayed Share</a:t>
            </a:r>
            <a:endParaRPr lang="en-IN" b="1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D9534F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rgbClr val="1F4E79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Chart_Urgency_Share!$B$3:$B$4</c:f>
              <c:strCache>
                <c:ptCount val="1"/>
                <c:pt idx="0">
                  <c:v>Delayed</c:v>
                </c:pt>
              </c:strCache>
            </c:strRef>
          </c:tx>
          <c:spPr>
            <a:solidFill>
              <a:srgbClr val="D9534F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Chart_Urgency_Share!$A$5:$A$7</c:f>
              <c:strCache>
                <c:ptCount val="2"/>
                <c:pt idx="0">
                  <c:v>Routine</c:v>
                </c:pt>
                <c:pt idx="1">
                  <c:v>Stat</c:v>
                </c:pt>
              </c:strCache>
            </c:strRef>
          </c:cat>
          <c:val>
            <c:numRef>
              <c:f>Chart_Urgency_Share!$B$5:$B$7</c:f>
              <c:numCache>
                <c:formatCode>General</c:formatCode>
                <c:ptCount val="2"/>
                <c:pt idx="0">
                  <c:v>23</c:v>
                </c:pt>
                <c:pt idx="1">
                  <c:v>15</c:v>
                </c:pt>
              </c:numCache>
            </c:numRef>
          </c:val>
        </c:ser>
        <c:ser>
          <c:idx val="1"/>
          <c:order val="1"/>
          <c:tx>
            <c:strRef>
              <c:f>Chart_Urgency_Share!$C$3:$C$4</c:f>
              <c:strCache>
                <c:ptCount val="1"/>
                <c:pt idx="0">
                  <c:v>On-Time</c:v>
                </c:pt>
              </c:strCache>
            </c:strRef>
          </c:tx>
          <c:spPr>
            <a:solidFill>
              <a:srgbClr val="1F4E79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Chart_Urgency_Share!$A$5:$A$7</c:f>
              <c:strCache>
                <c:ptCount val="2"/>
                <c:pt idx="0">
                  <c:v>Routine</c:v>
                </c:pt>
                <c:pt idx="1">
                  <c:v>Stat</c:v>
                </c:pt>
              </c:strCache>
            </c:strRef>
          </c:cat>
          <c:val>
            <c:numRef>
              <c:f>Chart_Urgency_Share!$C$5:$C$7</c:f>
              <c:numCache>
                <c:formatCode>General</c:formatCode>
                <c:ptCount val="2"/>
                <c:pt idx="0">
                  <c:v>52</c:v>
                </c:pt>
                <c:pt idx="1">
                  <c:v>59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27960768"/>
        <c:axId val="627961944"/>
      </c:barChart>
      <c:catAx>
        <c:axId val="627960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961944"/>
        <c:crosses val="autoZero"/>
        <c:auto val="1"/>
        <c:lblAlgn val="ctr"/>
        <c:lblOffset val="100"/>
        <c:noMultiLvlLbl val="0"/>
      </c:catAx>
      <c:valAx>
        <c:axId val="627961944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960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9</xdr:row>
      <xdr:rowOff>90487</xdr:rowOff>
    </xdr:from>
    <xdr:to>
      <xdr:col>14</xdr:col>
      <xdr:colOff>371475</xdr:colOff>
      <xdr:row>23</xdr:row>
      <xdr:rowOff>166687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104775</xdr:colOff>
      <xdr:row>9</xdr:row>
      <xdr:rowOff>90487</xdr:rowOff>
    </xdr:from>
    <xdr:to>
      <xdr:col>15</xdr:col>
      <xdr:colOff>409575</xdr:colOff>
      <xdr:row>23</xdr:row>
      <xdr:rowOff>166687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209550</xdr:colOff>
      <xdr:row>9</xdr:row>
      <xdr:rowOff>90487</xdr:rowOff>
    </xdr:from>
    <xdr:to>
      <xdr:col>13</xdr:col>
      <xdr:colOff>514350</xdr:colOff>
      <xdr:row>23</xdr:row>
      <xdr:rowOff>166687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Lab_Diagnostics_TAT_Project.csv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novo" refreshedDate="46219.755742476853" createdVersion="5" refreshedVersion="5" minRefreshableVersion="3" recordCount="150">
  <cacheSource type="worksheet">
    <worksheetSource ref="A1:H1048576" sheet="Lab_Diagnostics_TAT_Project" r:id="rId2"/>
  </cacheSource>
  <cacheFields count="8">
    <cacheField name="Patient_ID" numFmtId="0">
      <sharedItems containsBlank="1"/>
    </cacheField>
    <cacheField name="Test_Name" numFmtId="0">
      <sharedItems containsBlank="1"/>
    </cacheField>
    <cacheField name="Department" numFmtId="0">
      <sharedItems containsBlank="1" count="5">
        <s v="Microbiology"/>
        <s v="Hematology"/>
        <s v="Biochemistry"/>
        <s v="Molecular"/>
        <m/>
      </sharedItems>
    </cacheField>
    <cacheField name="Urgency" numFmtId="0">
      <sharedItems containsBlank="1"/>
    </cacheField>
    <cacheField name="Sample_Type" numFmtId="0">
      <sharedItems containsBlank="1"/>
    </cacheField>
    <cacheField name="Actual_TAT_Hours" numFmtId="0">
      <sharedItems containsString="0" containsBlank="1" containsNumber="1" containsInteger="1" minValue="2" maxValue="52" count="35">
        <n v="36"/>
        <n v="48"/>
        <n v="4"/>
        <n v="24"/>
        <n v="5"/>
        <n v="8"/>
        <n v="12"/>
        <n v="52"/>
        <n v="3"/>
        <n v="2"/>
        <n v="6"/>
        <n v="9"/>
        <n v="47"/>
        <n v="23"/>
        <n v="7"/>
        <n v="32"/>
        <n v="38"/>
        <n v="25"/>
        <n v="43"/>
        <n v="42"/>
        <n v="39"/>
        <n v="46"/>
        <n v="37"/>
        <n v="26"/>
        <n v="27"/>
        <n v="28"/>
        <n v="29"/>
        <n v="35"/>
        <n v="44"/>
        <n v="34"/>
        <n v="13"/>
        <n v="14"/>
        <n v="15"/>
        <n v="31"/>
        <m/>
      </sharedItems>
    </cacheField>
    <cacheField name="Target_TAT" numFmtId="0">
      <sharedItems containsString="0" containsBlank="1" containsNumber="1" containsInteger="1" minValue="4" maxValue="48"/>
    </cacheField>
    <cacheField name="Statu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Lenovo" refreshedDate="46219.857607638885" createdVersion="5" refreshedVersion="5" minRefreshableVersion="3" recordCount="150">
  <cacheSource type="worksheet">
    <worksheetSource ref="A1:J1048576" sheet="Lab_Diagnostics_TAT_Project"/>
  </cacheSource>
  <cacheFields count="10">
    <cacheField name="Patient_ID" numFmtId="0">
      <sharedItems containsBlank="1"/>
    </cacheField>
    <cacheField name="Test_Name" numFmtId="0">
      <sharedItems containsBlank="1"/>
    </cacheField>
    <cacheField name="Department" numFmtId="0">
      <sharedItems containsBlank="1" count="5">
        <s v="Microbiology"/>
        <s v="Hematology"/>
        <s v="Biochemistry"/>
        <s v="Molecular"/>
        <m/>
      </sharedItems>
    </cacheField>
    <cacheField name="Urgency" numFmtId="0">
      <sharedItems containsBlank="1" count="3">
        <s v="Stat"/>
        <s v="Routine"/>
        <m/>
      </sharedItems>
    </cacheField>
    <cacheField name="Sample_Type" numFmtId="0">
      <sharedItems containsBlank="1" count="10">
        <s v="Whole Blood"/>
        <s v="Urine"/>
        <s v="EDTA Blood"/>
        <s v="Sputum"/>
        <s v="Serum"/>
        <s v="CSF Fluid"/>
        <s v="Nasopharyngeal Swab"/>
        <s v="Stool"/>
        <s v="Pus Swab"/>
        <m/>
      </sharedItems>
    </cacheField>
    <cacheField name="Actual_TAT_Hours" numFmtId="0">
      <sharedItems containsString="0" containsBlank="1" containsNumber="1" containsInteger="1" minValue="2" maxValue="52"/>
    </cacheField>
    <cacheField name="Target_TAT" numFmtId="0">
      <sharedItems containsString="0" containsBlank="1" containsNumber="1" containsInteger="1" minValue="4" maxValue="48"/>
    </cacheField>
    <cacheField name="Status" numFmtId="0">
      <sharedItems containsBlank="1" count="3">
        <s v="On-Time"/>
        <s v="Delayed"/>
        <m/>
      </sharedItems>
    </cacheField>
    <cacheField name="Data_Quality_ID" numFmtId="0">
      <sharedItems containsBlank="1"/>
    </cacheField>
    <cacheField name="Data_Error_Chec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0">
  <r>
    <s v="P-2026-01"/>
    <s v="Blood Culture and  Sensitivity"/>
    <x v="0"/>
    <s v="Stat"/>
    <s v="Whole Blood"/>
    <x v="0"/>
    <n v="48"/>
    <s v="On-Time"/>
  </r>
  <r>
    <s v="P-2026-02"/>
    <s v="Urine Culture"/>
    <x v="0"/>
    <s v="Routine"/>
    <s v="Urine"/>
    <x v="1"/>
    <n v="48"/>
    <s v="On-Time"/>
  </r>
  <r>
    <s v="P-2026-03"/>
    <s v="CBC (Complete Blod Count)"/>
    <x v="1"/>
    <s v="Routine"/>
    <s v="EDTA Blood"/>
    <x v="2"/>
    <n v="4"/>
    <s v="On-Time"/>
  </r>
  <r>
    <s v="P-2026-04"/>
    <s v="Sputum For AFB"/>
    <x v="0"/>
    <s v="Routine"/>
    <s v="Sputum"/>
    <x v="3"/>
    <n v="48"/>
    <s v="On-Time"/>
  </r>
  <r>
    <s v="P-2026-05"/>
    <s v="HBA1C"/>
    <x v="2"/>
    <s v="Routine"/>
    <s v="Serum"/>
    <x v="4"/>
    <n v="6"/>
    <s v="On-Time"/>
  </r>
  <r>
    <s v="P-2026-06"/>
    <s v="CSF Analysis"/>
    <x v="0"/>
    <s v="Stat"/>
    <s v="CSF Fluid"/>
    <x v="5"/>
    <n v="48"/>
    <s v="On-Time"/>
  </r>
  <r>
    <s v="P-2026-07"/>
    <s v="RT-PCR (Respiratory Panel)"/>
    <x v="3"/>
    <s v="Stat"/>
    <s v="Nasopharyngeal Swab"/>
    <x v="6"/>
    <n v="12"/>
    <s v="On-Time"/>
  </r>
  <r>
    <s v="P-2026-08"/>
    <s v="Stool Culture"/>
    <x v="0"/>
    <s v="Routine"/>
    <s v="Stool"/>
    <x v="7"/>
    <n v="48"/>
    <s v="Delayed"/>
  </r>
  <r>
    <s v="P-2026-09"/>
    <s v="Liver Function Test (LFT)"/>
    <x v="2"/>
    <s v="Stat"/>
    <s v="Serum"/>
    <x v="8"/>
    <n v="6"/>
    <s v="On-Time"/>
  </r>
  <r>
    <s v="P-2026-10"/>
    <s v="Wound Swab Gram Stain"/>
    <x v="0"/>
    <s v="Stat"/>
    <s v="Pus Swab"/>
    <x v="9"/>
    <n v="48"/>
    <s v="On-Time"/>
  </r>
  <r>
    <s v="Patient_ID"/>
    <s v="Blood Culture and  Sensitivity"/>
    <x v="0"/>
    <s v="Stat"/>
    <s v="Whole Blood"/>
    <x v="0"/>
    <n v="48"/>
    <s v="On-Time"/>
  </r>
  <r>
    <s v="P-2026-11"/>
    <s v="Urine Culture"/>
    <x v="0"/>
    <s v="Routine"/>
    <s v="Urine"/>
    <x v="10"/>
    <n v="48"/>
    <s v="On-Time"/>
  </r>
  <r>
    <s v="P-2026-12"/>
    <s v="CBC (Complete Blod Count)"/>
    <x v="1"/>
    <s v="Routine"/>
    <s v="EDTA Blood"/>
    <x v="1"/>
    <n v="4"/>
    <s v="Delayed"/>
  </r>
  <r>
    <s v="P-2026-13"/>
    <s v="Sputum For AFB"/>
    <x v="0"/>
    <s v="Routine"/>
    <s v="Sputum"/>
    <x v="7"/>
    <n v="48"/>
    <s v="Delayed"/>
  </r>
  <r>
    <s v="P-2026-14"/>
    <s v="HBA1C"/>
    <x v="2"/>
    <s v="Routine"/>
    <s v="Serum"/>
    <x v="11"/>
    <n v="6"/>
    <s v="Delayed"/>
  </r>
  <r>
    <s v="P-2026-15"/>
    <s v="CSF Analysis"/>
    <x v="0"/>
    <s v="Stat"/>
    <s v="CSF Fluid"/>
    <x v="4"/>
    <n v="48"/>
    <s v="On-Time"/>
  </r>
  <r>
    <s v="P-2026-16"/>
    <s v="RT-PCR (Respiratory Panel)"/>
    <x v="3"/>
    <s v="Stat"/>
    <s v="Nasopharyngeal Swab"/>
    <x v="10"/>
    <n v="12"/>
    <s v="On-Time"/>
  </r>
  <r>
    <s v="P-2026-17"/>
    <s v="Stool Culture"/>
    <x v="0"/>
    <s v="Routine"/>
    <s v="Stool"/>
    <x v="5"/>
    <n v="48"/>
    <s v="On-Time"/>
  </r>
  <r>
    <s v="P-2026-18"/>
    <s v="Liver Function Test (LFT)"/>
    <x v="2"/>
    <s v="Stat"/>
    <s v="Serum"/>
    <x v="12"/>
    <n v="6"/>
    <s v="Delayed"/>
  </r>
  <r>
    <s v="P-2026-19"/>
    <s v="Wound Swab Gram Stain"/>
    <x v="0"/>
    <s v="Stat"/>
    <s v="Pus Swab"/>
    <x v="13"/>
    <n v="48"/>
    <s v="On-Time"/>
  </r>
  <r>
    <s v="P-2026-20"/>
    <s v="Blood Culture and  Sensitivity"/>
    <x v="0"/>
    <s v="Stat"/>
    <s v="Whole Blood"/>
    <x v="3"/>
    <n v="48"/>
    <s v="On-Time"/>
  </r>
  <r>
    <s v="Patient_ID"/>
    <s v="Urine Culture"/>
    <x v="0"/>
    <s v="Routine"/>
    <s v="Urine"/>
    <x v="6"/>
    <n v="48"/>
    <s v="On-Time"/>
  </r>
  <r>
    <s v="P-2026-21"/>
    <s v="CBC (Complete Blod Count)"/>
    <x v="1"/>
    <s v="Routine"/>
    <s v="EDTA Blood"/>
    <x v="7"/>
    <n v="4"/>
    <s v="Delayed"/>
  </r>
  <r>
    <s v="P-2026-22"/>
    <s v="Sputum For AFB"/>
    <x v="0"/>
    <s v="Routine"/>
    <s v="Sputum"/>
    <x v="14"/>
    <n v="48"/>
    <s v="On-Time"/>
  </r>
  <r>
    <s v="P-2026-23"/>
    <s v="HBA1C"/>
    <x v="2"/>
    <s v="Routine"/>
    <s v="Serum"/>
    <x v="8"/>
    <n v="6"/>
    <s v="On-Time"/>
  </r>
  <r>
    <s v="P-2026-24"/>
    <s v="CSF Analysis"/>
    <x v="0"/>
    <s v="Stat"/>
    <s v="CSF Fluid"/>
    <x v="9"/>
    <n v="48"/>
    <s v="On-Time"/>
  </r>
  <r>
    <s v="P-2026-25"/>
    <s v="RT-PCR (Respiratory Panel)"/>
    <x v="3"/>
    <s v="Stat"/>
    <s v="Nasopharyngeal Swab"/>
    <x v="15"/>
    <n v="12"/>
    <s v="Delayed"/>
  </r>
  <r>
    <s v="P-2026-26"/>
    <s v="Stool Culture"/>
    <x v="0"/>
    <s v="Routine"/>
    <s v="Stool"/>
    <x v="2"/>
    <n v="48"/>
    <s v="On-Time"/>
  </r>
  <r>
    <s v="P-2026-27"/>
    <s v="Liver Function Test (LFT)"/>
    <x v="2"/>
    <s v="Stat"/>
    <s v="Serum"/>
    <x v="4"/>
    <n v="6"/>
    <s v="On-Time"/>
  </r>
  <r>
    <s v="P-2026-28"/>
    <s v="Wound Swab Gram Stain"/>
    <x v="0"/>
    <s v="Stat"/>
    <s v="Pus Swab"/>
    <x v="10"/>
    <n v="48"/>
    <s v="On-Time"/>
  </r>
  <r>
    <s v="P-2026-29"/>
    <s v="Blood Culture and  Sensitivity"/>
    <x v="0"/>
    <s v="Stat"/>
    <s v="Whole Blood"/>
    <x v="14"/>
    <n v="48"/>
    <s v="On-Time"/>
  </r>
  <r>
    <s v="P-2026-30"/>
    <s v="Urine Culture"/>
    <x v="0"/>
    <s v="Routine"/>
    <s v="Urine"/>
    <x v="16"/>
    <n v="48"/>
    <s v="On-Time"/>
  </r>
  <r>
    <s v="Patient_ID"/>
    <s v="CBC (Complete Blod Count)"/>
    <x v="1"/>
    <s v="Routine"/>
    <s v="EDTA Blood"/>
    <x v="17"/>
    <n v="4"/>
    <s v="Delayed"/>
  </r>
  <r>
    <s v="P-2026-31"/>
    <s v="Sputum For AFB"/>
    <x v="0"/>
    <s v="Routine"/>
    <s v="Sputum"/>
    <x v="3"/>
    <n v="48"/>
    <s v="On-Time"/>
  </r>
  <r>
    <s v="P-2026-32"/>
    <s v="HBA1C"/>
    <x v="2"/>
    <s v="Routine"/>
    <s v="Serum"/>
    <x v="5"/>
    <n v="6"/>
    <s v="Delayed"/>
  </r>
  <r>
    <s v="P-2026-33"/>
    <s v="CSF Analysis"/>
    <x v="0"/>
    <s v="Stat"/>
    <s v="CSF Fluid"/>
    <x v="10"/>
    <n v="48"/>
    <s v="On-Time"/>
  </r>
  <r>
    <s v="P-2026-34"/>
    <s v="RT-PCR (Respiratory Panel)"/>
    <x v="3"/>
    <s v="Stat"/>
    <s v="Nasopharyngeal Swab"/>
    <x v="4"/>
    <n v="12"/>
    <s v="On-Time"/>
  </r>
  <r>
    <s v="P-2026-35"/>
    <s v="Stool Culture"/>
    <x v="0"/>
    <s v="Routine"/>
    <s v="Stool"/>
    <x v="5"/>
    <n v="48"/>
    <s v="On-Time"/>
  </r>
  <r>
    <s v="P-2026-36"/>
    <s v="Liver Function Test (LFT)"/>
    <x v="2"/>
    <s v="Stat"/>
    <s v="Serum"/>
    <x v="1"/>
    <n v="6"/>
    <s v="Delayed"/>
  </r>
  <r>
    <s v="P-2026-37"/>
    <s v="Wound Swab Gram Stain"/>
    <x v="0"/>
    <s v="Stat"/>
    <s v="Pus Swab"/>
    <x v="18"/>
    <n v="48"/>
    <s v="On-Time"/>
  </r>
  <r>
    <s v="P-2026-38"/>
    <s v="Blood Culture and  Sensitivity"/>
    <x v="0"/>
    <s v="Stat"/>
    <s v="Whole Blood"/>
    <x v="4"/>
    <n v="48"/>
    <s v="On-Time"/>
  </r>
  <r>
    <s v="P-2026-39"/>
    <s v="Urine Culture"/>
    <x v="0"/>
    <s v="Routine"/>
    <s v="Urine"/>
    <x v="10"/>
    <n v="48"/>
    <s v="On-Time"/>
  </r>
  <r>
    <s v="P-2026-40"/>
    <s v="CBC (Complete Blod Count)"/>
    <x v="1"/>
    <s v="Routine"/>
    <s v="EDTA Blood"/>
    <x v="14"/>
    <n v="4"/>
    <s v="Delayed"/>
  </r>
  <r>
    <s v="Patient_ID"/>
    <s v="Sputum For AFB"/>
    <x v="0"/>
    <s v="Routine"/>
    <s v="Sputum"/>
    <x v="2"/>
    <n v="48"/>
    <s v="On-Time"/>
  </r>
  <r>
    <s v="P-2026-41"/>
    <s v="HBA1C"/>
    <x v="2"/>
    <s v="Routine"/>
    <s v="Serum"/>
    <x v="8"/>
    <n v="6"/>
    <s v="On-Time"/>
  </r>
  <r>
    <s v="P-2026-42"/>
    <s v="CSF Analysis"/>
    <x v="0"/>
    <s v="Stat"/>
    <s v="CSF Fluid"/>
    <x v="9"/>
    <n v="48"/>
    <s v="On-Time"/>
  </r>
  <r>
    <s v="P-2026-43"/>
    <s v="RT-PCR (Respiratory Panel)"/>
    <x v="3"/>
    <s v="Stat"/>
    <s v="Nasopharyngeal Swab"/>
    <x v="14"/>
    <n v="12"/>
    <s v="On-Time"/>
  </r>
  <r>
    <s v="P-2026-44"/>
    <s v="Stool Culture"/>
    <x v="0"/>
    <s v="Routine"/>
    <s v="Stool"/>
    <x v="5"/>
    <n v="48"/>
    <s v="On-Time"/>
  </r>
  <r>
    <s v="P-2026-45"/>
    <s v="Liver Function Test (LFT)"/>
    <x v="2"/>
    <s v="Stat"/>
    <s v="Serum"/>
    <x v="0"/>
    <n v="6"/>
    <s v="Delayed"/>
  </r>
  <r>
    <s v="P-2026-46"/>
    <s v="Wound Swab Gram Stain"/>
    <x v="0"/>
    <s v="Stat"/>
    <s v="Pus Swab"/>
    <x v="19"/>
    <n v="48"/>
    <s v="On-Time"/>
  </r>
  <r>
    <s v="P-2026-47"/>
    <s v="Blood Culture and  Sensitivity"/>
    <x v="0"/>
    <s v="Stat"/>
    <s v="Whole Blood"/>
    <x v="20"/>
    <n v="48"/>
    <s v="On-Time"/>
  </r>
  <r>
    <s v="P-2026-48"/>
    <s v="Urine Culture"/>
    <x v="0"/>
    <s v="Routine"/>
    <s v="Urine"/>
    <x v="2"/>
    <n v="48"/>
    <s v="On-Time"/>
  </r>
  <r>
    <s v="P-2026-49"/>
    <s v="CBC (Complete Blod Count)"/>
    <x v="1"/>
    <s v="Routine"/>
    <s v="EDTA Blood"/>
    <x v="8"/>
    <n v="4"/>
    <s v="On-Time"/>
  </r>
  <r>
    <s v="P-2026-50"/>
    <s v="Sputum For AFB"/>
    <x v="0"/>
    <s v="Routine"/>
    <s v="Sputum"/>
    <x v="14"/>
    <n v="48"/>
    <s v="On-Time"/>
  </r>
  <r>
    <s v="Patient_ID"/>
    <s v="HBA1C"/>
    <x v="2"/>
    <s v="Routine"/>
    <s v="Serum"/>
    <x v="10"/>
    <n v="6"/>
    <s v="On-Time"/>
  </r>
  <r>
    <s v="P-2026-51"/>
    <s v="CSF Analysis"/>
    <x v="0"/>
    <s v="Stat"/>
    <s v="CSF Fluid"/>
    <x v="4"/>
    <n v="48"/>
    <s v="On-Time"/>
  </r>
  <r>
    <s v="P-2026-52"/>
    <s v="RT-PCR (Respiratory Panel)"/>
    <x v="3"/>
    <s v="Stat"/>
    <s v="Nasopharyngeal Swab"/>
    <x v="5"/>
    <n v="12"/>
    <s v="On-Time"/>
  </r>
  <r>
    <s v="P-2026-53"/>
    <s v="Stool Culture"/>
    <x v="0"/>
    <s v="Routine"/>
    <s v="Stool"/>
    <x v="4"/>
    <n v="48"/>
    <s v="On-Time"/>
  </r>
  <r>
    <s v="P-2026-54"/>
    <s v="Liver Function Test (LFT)"/>
    <x v="2"/>
    <s v="Stat"/>
    <s v="Serum"/>
    <x v="2"/>
    <n v="6"/>
    <s v="On-Time"/>
  </r>
  <r>
    <s v="P-2026-55"/>
    <s v="Wound Swab Gram Stain"/>
    <x v="0"/>
    <s v="Stat"/>
    <s v="Pus Swab"/>
    <x v="8"/>
    <n v="48"/>
    <s v="On-Time"/>
  </r>
  <r>
    <s v="P-2026-56"/>
    <s v="Blood Culture and  Sensitivity"/>
    <x v="0"/>
    <s v="Stat"/>
    <s v="Whole Blood"/>
    <x v="4"/>
    <n v="48"/>
    <s v="On-Time"/>
  </r>
  <r>
    <s v="P-2026-57"/>
    <s v="Urine Culture"/>
    <x v="0"/>
    <s v="Routine"/>
    <s v="Urine"/>
    <x v="10"/>
    <n v="48"/>
    <s v="On-Time"/>
  </r>
  <r>
    <s v="P-2026-58"/>
    <s v="CBC (Complete Blod Count)"/>
    <x v="1"/>
    <s v="Routine"/>
    <s v="EDTA Blood"/>
    <x v="21"/>
    <n v="4"/>
    <s v="Delayed"/>
  </r>
  <r>
    <s v="P-2026-59"/>
    <s v="Sputum For AFB"/>
    <x v="0"/>
    <s v="Routine"/>
    <s v="Sputum"/>
    <x v="22"/>
    <n v="48"/>
    <s v="On-Time"/>
  </r>
  <r>
    <s v="P-2026-60"/>
    <s v="HBA1C"/>
    <x v="2"/>
    <s v="Routine"/>
    <s v="Serum"/>
    <x v="21"/>
    <n v="6"/>
    <s v="Delayed"/>
  </r>
  <r>
    <s v="Patient_ID"/>
    <s v="CSF Analysis"/>
    <x v="0"/>
    <s v="Stat"/>
    <s v="CSF Fluid"/>
    <x v="19"/>
    <n v="48"/>
    <s v="On-Time"/>
  </r>
  <r>
    <s v="P-2026-61"/>
    <s v="RT-PCR (Respiratory Panel)"/>
    <x v="3"/>
    <s v="Stat"/>
    <s v="Nasopharyngeal Swab"/>
    <x v="23"/>
    <n v="12"/>
    <s v="Delayed"/>
  </r>
  <r>
    <s v="P-2026-62"/>
    <s v="Stool Culture"/>
    <x v="0"/>
    <s v="Routine"/>
    <s v="Stool"/>
    <x v="24"/>
    <n v="48"/>
    <s v="On-Time"/>
  </r>
  <r>
    <s v="P-2026-63"/>
    <s v="Liver Function Test (LFT)"/>
    <x v="2"/>
    <s v="Stat"/>
    <s v="Serum"/>
    <x v="25"/>
    <n v="6"/>
    <s v="Delayed"/>
  </r>
  <r>
    <s v="P-2026-64"/>
    <s v="Wound Swab Gram Stain"/>
    <x v="0"/>
    <s v="Stat"/>
    <s v="Pus Swab"/>
    <x v="26"/>
    <n v="48"/>
    <s v="On-Time"/>
  </r>
  <r>
    <s v="P-2026-65"/>
    <s v="Blood Culture and  Sensitivity"/>
    <x v="0"/>
    <s v="Stat"/>
    <s v="Whole Blood"/>
    <x v="24"/>
    <n v="48"/>
    <s v="On-Time"/>
  </r>
  <r>
    <s v="P-2026-66"/>
    <s v="Urine Culture"/>
    <x v="0"/>
    <s v="Routine"/>
    <s v="Urine"/>
    <x v="27"/>
    <n v="48"/>
    <s v="On-Time"/>
  </r>
  <r>
    <s v="P-2026-67"/>
    <s v="CBC (Complete Blod Count)"/>
    <x v="1"/>
    <s v="Routine"/>
    <s v="EDTA Blood"/>
    <x v="22"/>
    <n v="4"/>
    <s v="Delayed"/>
  </r>
  <r>
    <s v="P-2026-68"/>
    <s v="Sputum For AFB"/>
    <x v="0"/>
    <s v="Routine"/>
    <s v="Sputum"/>
    <x v="21"/>
    <n v="48"/>
    <s v="On-Time"/>
  </r>
  <r>
    <s v="P-2026-69"/>
    <s v="HBA1C"/>
    <x v="2"/>
    <s v="Routine"/>
    <s v="Serum"/>
    <x v="28"/>
    <n v="6"/>
    <s v="Delayed"/>
  </r>
  <r>
    <s v="P-2026-70"/>
    <s v="CSF Analysis"/>
    <x v="0"/>
    <s v="Stat"/>
    <s v="CSF Fluid"/>
    <x v="19"/>
    <n v="48"/>
    <s v="On-Time"/>
  </r>
  <r>
    <s v="Patient_ID"/>
    <s v="RT-PCR (Respiratory Panel)"/>
    <x v="3"/>
    <s v="Stat"/>
    <s v="Nasopharyngeal Swab"/>
    <x v="17"/>
    <n v="12"/>
    <s v="Delayed"/>
  </r>
  <r>
    <s v="P-2026-71"/>
    <s v="Stool Culture"/>
    <x v="0"/>
    <s v="Routine"/>
    <s v="Stool"/>
    <x v="27"/>
    <n v="48"/>
    <s v="On-Time"/>
  </r>
  <r>
    <s v="P-2026-72"/>
    <s v="Liver Function Test (LFT)"/>
    <x v="2"/>
    <s v="Stat"/>
    <s v="Serum"/>
    <x v="12"/>
    <n v="6"/>
    <s v="Delayed"/>
  </r>
  <r>
    <s v="P-2026-73"/>
    <s v="Wound Swab Gram Stain"/>
    <x v="0"/>
    <s v="Stat"/>
    <s v="Pus Swab"/>
    <x v="5"/>
    <n v="48"/>
    <s v="On-Time"/>
  </r>
  <r>
    <s v="P-2026-74"/>
    <s v="Blood Culture and  Sensitivity"/>
    <x v="0"/>
    <s v="Stat"/>
    <s v="Whole Blood"/>
    <x v="11"/>
    <n v="48"/>
    <s v="On-Time"/>
  </r>
  <r>
    <s v="P-2026-75"/>
    <s v="Urine Culture"/>
    <x v="0"/>
    <s v="Routine"/>
    <s v="Urine"/>
    <x v="14"/>
    <n v="48"/>
    <s v="On-Time"/>
  </r>
  <r>
    <s v="P-2026-76"/>
    <s v="CBC (Complete Blod Count)"/>
    <x v="1"/>
    <s v="Routine"/>
    <s v="EDTA Blood"/>
    <x v="5"/>
    <n v="4"/>
    <s v="Delayed"/>
  </r>
  <r>
    <s v="P-2026-77"/>
    <s v="Sputum For AFB"/>
    <x v="0"/>
    <s v="Routine"/>
    <s v="Sputum"/>
    <x v="10"/>
    <n v="48"/>
    <s v="On-Time"/>
  </r>
  <r>
    <s v="P-2026-78"/>
    <s v="HBA1C"/>
    <x v="2"/>
    <s v="Routine"/>
    <s v="Serum"/>
    <x v="4"/>
    <n v="6"/>
    <s v="On-Time"/>
  </r>
  <r>
    <s v="P-2026-79"/>
    <s v="CSF Analysis"/>
    <x v="0"/>
    <s v="Stat"/>
    <s v="CSF Fluid"/>
    <x v="2"/>
    <n v="48"/>
    <s v="On-Time"/>
  </r>
  <r>
    <s v="P-2026-80"/>
    <s v="RT-PCR (Respiratory Panel)"/>
    <x v="3"/>
    <s v="Stat"/>
    <s v="Nasopharyngeal Swab"/>
    <x v="8"/>
    <n v="12"/>
    <s v="On-Time"/>
  </r>
  <r>
    <s v="Patient_ID"/>
    <s v="Stool Culture"/>
    <x v="0"/>
    <s v="Routine"/>
    <s v="Stool"/>
    <x v="9"/>
    <n v="48"/>
    <s v="On-Time"/>
  </r>
  <r>
    <s v="P-2026-81"/>
    <s v="Liver Function Test (LFT)"/>
    <x v="2"/>
    <s v="Stat"/>
    <s v="Serum"/>
    <x v="4"/>
    <n v="6"/>
    <s v="On-Time"/>
  </r>
  <r>
    <s v="P-2026-82"/>
    <s v="Wound Swab Gram Stain"/>
    <x v="0"/>
    <s v="Stat"/>
    <s v="Pus Swab"/>
    <x v="10"/>
    <n v="48"/>
    <s v="On-Time"/>
  </r>
  <r>
    <s v="P-2026-83"/>
    <s v="Blood Culture and  Sensitivity"/>
    <x v="0"/>
    <s v="Stat"/>
    <s v="Whole Blood"/>
    <x v="14"/>
    <n v="48"/>
    <s v="On-Time"/>
  </r>
  <r>
    <s v="P-2026-84"/>
    <s v="Urine Culture"/>
    <x v="0"/>
    <s v="Routine"/>
    <s v="Urine"/>
    <x v="5"/>
    <n v="48"/>
    <s v="On-Time"/>
  </r>
  <r>
    <s v="P-2026-85"/>
    <s v="CBC (Complete Blod Count)"/>
    <x v="1"/>
    <s v="Routine"/>
    <s v="EDTA Blood"/>
    <x v="12"/>
    <n v="4"/>
    <s v="Delayed"/>
  </r>
  <r>
    <s v="P-2026-86"/>
    <s v="Sputum For AFB"/>
    <x v="0"/>
    <s v="Routine"/>
    <s v="Sputum"/>
    <x v="4"/>
    <n v="48"/>
    <s v="On-Time"/>
  </r>
  <r>
    <s v="P-2026-87"/>
    <s v="HBA1C"/>
    <x v="2"/>
    <s v="Routine"/>
    <s v="Serum"/>
    <x v="22"/>
    <n v="6"/>
    <s v="Delayed"/>
  </r>
  <r>
    <s v="P-2026-88"/>
    <s v="CSF Analysis"/>
    <x v="0"/>
    <s v="Stat"/>
    <s v="CSF Fluid"/>
    <x v="0"/>
    <n v="48"/>
    <s v="On-Time"/>
  </r>
  <r>
    <s v="P-2026-89"/>
    <s v="RT-PCR (Respiratory Panel)"/>
    <x v="3"/>
    <s v="Stat"/>
    <s v="Nasopharyngeal Swab"/>
    <x v="22"/>
    <n v="12"/>
    <s v="Delayed"/>
  </r>
  <r>
    <s v="P-2026-90"/>
    <s v="Stool Culture"/>
    <x v="0"/>
    <s v="Routine"/>
    <s v="Stool"/>
    <x v="27"/>
    <n v="48"/>
    <s v="On-Time"/>
  </r>
  <r>
    <s v="Patient_ID"/>
    <s v="Liver Function Test (LFT)"/>
    <x v="2"/>
    <s v="Stat"/>
    <s v="Serum"/>
    <x v="18"/>
    <n v="6"/>
    <s v="Delayed"/>
  </r>
  <r>
    <s v="P-2026-91"/>
    <s v="Wound Swab Gram Stain"/>
    <x v="0"/>
    <s v="Stat"/>
    <s v="Pus Swab"/>
    <x v="17"/>
    <n v="48"/>
    <s v="On-Time"/>
  </r>
  <r>
    <s v="P-2026-92"/>
    <s v="Blood Culture and  Sensitivity"/>
    <x v="0"/>
    <s v="Stat"/>
    <s v="Whole Blood"/>
    <x v="22"/>
    <n v="48"/>
    <s v="On-Time"/>
  </r>
  <r>
    <s v="P-2026-93"/>
    <s v="Urine Culture"/>
    <x v="0"/>
    <s v="Routine"/>
    <s v="Urine"/>
    <x v="24"/>
    <n v="48"/>
    <s v="On-Time"/>
  </r>
  <r>
    <s v="P-2026-94"/>
    <s v="CBC (Complete Blod Count)"/>
    <x v="1"/>
    <s v="Routine"/>
    <s v="EDTA Blood"/>
    <x v="16"/>
    <n v="4"/>
    <s v="Delayed"/>
  </r>
  <r>
    <s v="P-2026-95"/>
    <s v="Sputum For AFB"/>
    <x v="0"/>
    <s v="Routine"/>
    <s v="Sputum"/>
    <x v="27"/>
    <n v="48"/>
    <s v="On-Time"/>
  </r>
  <r>
    <s v="P-2026-96"/>
    <s v="HBA1C"/>
    <x v="2"/>
    <s v="Routine"/>
    <s v="Serum"/>
    <x v="10"/>
    <n v="6"/>
    <s v="On-Time"/>
  </r>
  <r>
    <s v="P-2026-97"/>
    <s v="CSF Analysis"/>
    <x v="0"/>
    <s v="Stat"/>
    <s v="CSF Fluid"/>
    <x v="29"/>
    <n v="48"/>
    <s v="On-Time"/>
  </r>
  <r>
    <s v="P-2026-98"/>
    <s v="RT-PCR (Respiratory Panel)"/>
    <x v="3"/>
    <s v="Stat"/>
    <s v="Nasopharyngeal Swab"/>
    <x v="6"/>
    <n v="12"/>
    <s v="On-Time"/>
  </r>
  <r>
    <s v="P-2026-99"/>
    <s v="Stool Culture"/>
    <x v="0"/>
    <s v="Routine"/>
    <s v="Stool"/>
    <x v="30"/>
    <n v="48"/>
    <s v="On-Time"/>
  </r>
  <r>
    <s v="P-2026-100"/>
    <s v="Liver Function Test (LFT)"/>
    <x v="2"/>
    <s v="Stat"/>
    <s v="Serum"/>
    <x v="31"/>
    <n v="6"/>
    <s v="Delayed"/>
  </r>
  <r>
    <s v="Patient_ID"/>
    <s v="Wound Swab Gram Stain"/>
    <x v="0"/>
    <s v="Stat"/>
    <s v="Pus Swab"/>
    <x v="32"/>
    <n v="48"/>
    <s v="On-Time"/>
  </r>
  <r>
    <s v="P-2026-101"/>
    <s v="Blood Culture and  Sensitivity"/>
    <x v="0"/>
    <s v="Stat"/>
    <s v="Whole Blood"/>
    <x v="23"/>
    <n v="48"/>
    <s v="On-Time"/>
  </r>
  <r>
    <s v="P-2026-102"/>
    <s v="Urine Culture"/>
    <x v="0"/>
    <s v="Routine"/>
    <s v="Urine"/>
    <x v="24"/>
    <n v="48"/>
    <s v="On-Time"/>
  </r>
  <r>
    <s v="P-2026-103"/>
    <s v="CBC (Complete Blod Count)"/>
    <x v="1"/>
    <s v="Routine"/>
    <s v="EDTA Blood"/>
    <x v="25"/>
    <n v="4"/>
    <s v="Delayed"/>
  </r>
  <r>
    <s v="P-2026-104"/>
    <s v="Sputum For AFB"/>
    <x v="0"/>
    <s v="Routine"/>
    <s v="Sputum"/>
    <x v="26"/>
    <n v="48"/>
    <s v="On-Time"/>
  </r>
  <r>
    <s v="P-2026-105"/>
    <s v="HBA1C"/>
    <x v="2"/>
    <s v="Routine"/>
    <s v="Serum"/>
    <x v="12"/>
    <n v="6"/>
    <s v="Delayed"/>
  </r>
  <r>
    <s v="P-2026-106"/>
    <s v="CSF Analysis"/>
    <x v="0"/>
    <s v="Stat"/>
    <s v="CSF Fluid"/>
    <x v="27"/>
    <n v="48"/>
    <s v="On-Time"/>
  </r>
  <r>
    <s v="P-2026-107"/>
    <s v="RT-PCR (Respiratory Panel)"/>
    <x v="3"/>
    <s v="Stat"/>
    <s v="Nasopharyngeal Swab"/>
    <x v="18"/>
    <n v="12"/>
    <s v="Delayed"/>
  </r>
  <r>
    <s v="P-2026-108"/>
    <s v="Stool Culture"/>
    <x v="0"/>
    <s v="Routine"/>
    <s v="Stool"/>
    <x v="15"/>
    <n v="48"/>
    <s v="On-Time"/>
  </r>
  <r>
    <s v="P-2026-109"/>
    <s v="Liver Function Test (LFT)"/>
    <x v="2"/>
    <s v="Stat"/>
    <s v="Serum"/>
    <x v="33"/>
    <n v="6"/>
    <s v="Delayed"/>
  </r>
  <r>
    <s v="P-2026-110"/>
    <s v="Wound Swab Gram Stain"/>
    <x v="0"/>
    <s v="Stat"/>
    <s v="Pus Swab"/>
    <x v="29"/>
    <n v="48"/>
    <s v="On-Time"/>
  </r>
  <r>
    <s v="Patient_ID"/>
    <s v="Blood Culture and  Sensitivity"/>
    <x v="0"/>
    <s v="Stat"/>
    <s v="Whole Blood"/>
    <x v="17"/>
    <n v="48"/>
    <s v="On-Time"/>
  </r>
  <r>
    <s v="P-2026-111"/>
    <s v="Urine Culture"/>
    <x v="0"/>
    <s v="Routine"/>
    <s v="Urine"/>
    <x v="23"/>
    <n v="48"/>
    <s v="On-Time"/>
  </r>
  <r>
    <s v="P-2026-112"/>
    <s v="CBC (Complete Blod Count)"/>
    <x v="1"/>
    <s v="Routine"/>
    <s v="EDTA Blood"/>
    <x v="24"/>
    <n v="4"/>
    <s v="Delayed"/>
  </r>
  <r>
    <s v="P-2026-113"/>
    <s v="Sputum For AFB"/>
    <x v="0"/>
    <s v="Routine"/>
    <s v="Sputum"/>
    <x v="16"/>
    <n v="48"/>
    <s v="On-Time"/>
  </r>
  <r>
    <s v="P-2026-114"/>
    <s v="HBA1C"/>
    <x v="2"/>
    <s v="Routine"/>
    <s v="Serum"/>
    <x v="18"/>
    <n v="6"/>
    <s v="Delayed"/>
  </r>
  <r>
    <s v="P-2026-115"/>
    <s v="CSF Analysis"/>
    <x v="0"/>
    <s v="Stat"/>
    <s v="CSF Fluid"/>
    <x v="15"/>
    <n v="48"/>
    <s v="On-Time"/>
  </r>
  <r>
    <s v="P-2026-116"/>
    <s v="RT-PCR (Respiratory Panel)"/>
    <x v="3"/>
    <s v="Stat"/>
    <s v="Nasopharyngeal Swab"/>
    <x v="33"/>
    <n v="12"/>
    <s v="Delayed"/>
  </r>
  <r>
    <s v="P-2026-117"/>
    <s v="Stool Culture"/>
    <x v="0"/>
    <s v="Routine"/>
    <s v="Stool"/>
    <x v="2"/>
    <n v="48"/>
    <s v="On-Time"/>
  </r>
  <r>
    <s v="P-2026-118"/>
    <s v="Liver Function Test (LFT)"/>
    <x v="2"/>
    <s v="Stat"/>
    <s v="Serum"/>
    <x v="4"/>
    <n v="6"/>
    <s v="On-Time"/>
  </r>
  <r>
    <s v="P-2026-119"/>
    <s v="Wound Swab Gram Stain"/>
    <x v="0"/>
    <s v="Stat"/>
    <s v="Pus Swab"/>
    <x v="10"/>
    <n v="48"/>
    <s v="On-Time"/>
  </r>
  <r>
    <s v="P-2026-120"/>
    <s v="Blood Culture and  Sensitivity"/>
    <x v="0"/>
    <s v="Stat"/>
    <s v="Whole Blood"/>
    <x v="14"/>
    <n v="48"/>
    <s v="On-Time"/>
  </r>
  <r>
    <s v="Patient_ID"/>
    <s v="Urine Culture"/>
    <x v="0"/>
    <s v="Routine"/>
    <s v="Urine"/>
    <x v="5"/>
    <n v="48"/>
    <s v="On-Time"/>
  </r>
  <r>
    <s v="P-2026-121"/>
    <s v="CBC (Complete Blod Count)"/>
    <x v="1"/>
    <s v="Routine"/>
    <s v="EDTA Blood"/>
    <x v="11"/>
    <n v="4"/>
    <s v="Delayed"/>
  </r>
  <r>
    <s v="P-2026-122"/>
    <s v="Sputum For AFB"/>
    <x v="0"/>
    <s v="Routine"/>
    <s v="Sputum"/>
    <x v="14"/>
    <n v="48"/>
    <s v="On-Time"/>
  </r>
  <r>
    <s v="P-2026-123"/>
    <s v="HBA1C"/>
    <x v="2"/>
    <s v="Routine"/>
    <s v="Serum"/>
    <x v="10"/>
    <n v="6"/>
    <s v="On-Time"/>
  </r>
  <r>
    <s v="P-2026-124"/>
    <s v="CSF Analysis"/>
    <x v="0"/>
    <s v="Stat"/>
    <s v="CSF Fluid"/>
    <x v="4"/>
    <n v="48"/>
    <s v="On-Time"/>
  </r>
  <r>
    <s v="P-2026-125"/>
    <s v="RT-PCR (Respiratory Panel)"/>
    <x v="3"/>
    <s v="Stat"/>
    <s v="Nasopharyngeal Swab"/>
    <x v="2"/>
    <n v="12"/>
    <s v="On-Time"/>
  </r>
  <r>
    <s v="P-2026-126"/>
    <s v="Stool Culture"/>
    <x v="0"/>
    <s v="Routine"/>
    <s v="Stool"/>
    <x v="4"/>
    <n v="48"/>
    <s v="On-Time"/>
  </r>
  <r>
    <s v="P-2026-127"/>
    <s v="Liver Function Test (LFT)"/>
    <x v="2"/>
    <s v="Stat"/>
    <s v="Serum"/>
    <x v="10"/>
    <n v="6"/>
    <s v="On-Time"/>
  </r>
  <r>
    <s v="P-2026-128"/>
    <s v="Wound Swab Gram Stain"/>
    <x v="0"/>
    <s v="Stat"/>
    <s v="Pus Swab"/>
    <x v="14"/>
    <n v="48"/>
    <s v="On-Time"/>
  </r>
  <r>
    <s v="P-2026-129"/>
    <s v="Blood Culture and  Sensitivity"/>
    <x v="0"/>
    <s v="Stat"/>
    <s v="Whole Blood"/>
    <x v="2"/>
    <n v="48"/>
    <s v="On-Time"/>
  </r>
  <r>
    <s v="P-2026-130"/>
    <s v="Urine Culture"/>
    <x v="0"/>
    <s v="Routine"/>
    <s v="Urine"/>
    <x v="4"/>
    <n v="48"/>
    <s v="On-Time"/>
  </r>
  <r>
    <s v="Patient_ID"/>
    <s v="CBC (Complete Blod Count)"/>
    <x v="1"/>
    <s v="Routine"/>
    <s v="EDTA Blood"/>
    <x v="4"/>
    <n v="4"/>
    <s v="Delayed"/>
  </r>
  <r>
    <s v="P-2026-131"/>
    <s v="Sputum For AFB"/>
    <x v="0"/>
    <s v="Routine"/>
    <s v="Sputum"/>
    <x v="23"/>
    <n v="48"/>
    <s v="On-Time"/>
  </r>
  <r>
    <s v="P-2026-132"/>
    <s v="HBA1C"/>
    <x v="2"/>
    <s v="Routine"/>
    <s v="Serum"/>
    <x v="0"/>
    <n v="6"/>
    <s v="Delayed"/>
  </r>
  <r>
    <s v="P-2026-133"/>
    <s v="CSF Analysis"/>
    <x v="0"/>
    <s v="Stat"/>
    <s v="CSF Fluid"/>
    <x v="1"/>
    <n v="48"/>
    <s v="On-Time"/>
  </r>
  <r>
    <s v="P-2026-134"/>
    <s v="RT-PCR (Respiratory Panel)"/>
    <x v="3"/>
    <s v="Stat"/>
    <s v="Nasopharyngeal Swab"/>
    <x v="0"/>
    <n v="12"/>
    <s v="Delayed"/>
  </r>
  <r>
    <s v="P-2026-135"/>
    <s v="Stool Culture"/>
    <x v="0"/>
    <s v="Routine"/>
    <s v="Stool"/>
    <x v="22"/>
    <n v="48"/>
    <s v="On-Time"/>
  </r>
  <r>
    <s v="P-2026-136"/>
    <s v="Liver Function Test (LFT)"/>
    <x v="2"/>
    <s v="Stat"/>
    <s v="Serum"/>
    <x v="4"/>
    <n v="6"/>
    <s v="On-Time"/>
  </r>
  <r>
    <m/>
    <m/>
    <x v="4"/>
    <m/>
    <m/>
    <x v="34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50">
  <r>
    <s v="P-2026-01"/>
    <s v="Blood Culture and  Sensitivity"/>
    <x v="0"/>
    <x v="0"/>
    <x v="0"/>
    <n v="36"/>
    <n v="48"/>
    <x v="0"/>
    <s v="Unique"/>
    <s v="Valid"/>
  </r>
  <r>
    <s v="P-2026-02"/>
    <s v="Urine Culture"/>
    <x v="0"/>
    <x v="1"/>
    <x v="1"/>
    <n v="48"/>
    <n v="48"/>
    <x v="0"/>
    <s v="Unique"/>
    <s v="Valid"/>
  </r>
  <r>
    <s v="P-2026-03"/>
    <s v="CBC (Complete Blod Count)"/>
    <x v="1"/>
    <x v="1"/>
    <x v="2"/>
    <n v="4"/>
    <n v="4"/>
    <x v="0"/>
    <s v="Unique"/>
    <s v="Valid"/>
  </r>
  <r>
    <s v="P-2026-04"/>
    <s v="Sputum For AFB"/>
    <x v="0"/>
    <x v="1"/>
    <x v="3"/>
    <n v="24"/>
    <n v="48"/>
    <x v="0"/>
    <s v="Unique"/>
    <s v="Valid"/>
  </r>
  <r>
    <s v="P-2026-05"/>
    <s v="HBA1C"/>
    <x v="2"/>
    <x v="1"/>
    <x v="4"/>
    <n v="5"/>
    <n v="6"/>
    <x v="0"/>
    <s v="Unique"/>
    <s v="Valid"/>
  </r>
  <r>
    <s v="P-2026-06"/>
    <s v="CSF Analysis"/>
    <x v="0"/>
    <x v="0"/>
    <x v="5"/>
    <n v="8"/>
    <n v="48"/>
    <x v="0"/>
    <s v="Unique"/>
    <s v="Valid"/>
  </r>
  <r>
    <s v="P-2026-07"/>
    <s v="RT-PCR (Respiratory Panel)"/>
    <x v="3"/>
    <x v="0"/>
    <x v="6"/>
    <n v="12"/>
    <n v="12"/>
    <x v="0"/>
    <s v="Unique"/>
    <s v="Valid"/>
  </r>
  <r>
    <s v="P-2026-08"/>
    <s v="Stool Culture"/>
    <x v="0"/>
    <x v="1"/>
    <x v="7"/>
    <n v="52"/>
    <n v="48"/>
    <x v="1"/>
    <s v="Unique"/>
    <s v="Valid"/>
  </r>
  <r>
    <s v="P-2026-09"/>
    <s v="Liver Function Test (LFT)"/>
    <x v="2"/>
    <x v="0"/>
    <x v="4"/>
    <n v="3"/>
    <n v="6"/>
    <x v="0"/>
    <s v="Unique"/>
    <s v="Valid"/>
  </r>
  <r>
    <s v="P-2026-10"/>
    <s v="Wound Swab Gram Stain"/>
    <x v="0"/>
    <x v="0"/>
    <x v="8"/>
    <n v="2"/>
    <n v="48"/>
    <x v="0"/>
    <s v="Unique"/>
    <s v="Valid"/>
  </r>
  <r>
    <s v="Patient_ID"/>
    <s v="Blood Culture and  Sensitivity"/>
    <x v="0"/>
    <x v="0"/>
    <x v="0"/>
    <n v="36"/>
    <n v="48"/>
    <x v="0"/>
    <s v="Duplicate"/>
    <s v="Valid"/>
  </r>
  <r>
    <s v="P-2026-11"/>
    <s v="Urine Culture"/>
    <x v="0"/>
    <x v="1"/>
    <x v="1"/>
    <n v="6"/>
    <n v="48"/>
    <x v="0"/>
    <s v="Unique"/>
    <s v="Valid"/>
  </r>
  <r>
    <s v="P-2026-12"/>
    <s v="CBC (Complete Blod Count)"/>
    <x v="1"/>
    <x v="1"/>
    <x v="2"/>
    <n v="48"/>
    <n v="4"/>
    <x v="1"/>
    <s v="Unique"/>
    <s v="Valid"/>
  </r>
  <r>
    <s v="P-2026-13"/>
    <s v="Sputum For AFB"/>
    <x v="0"/>
    <x v="1"/>
    <x v="3"/>
    <n v="52"/>
    <n v="48"/>
    <x v="1"/>
    <s v="Unique"/>
    <s v="Valid"/>
  </r>
  <r>
    <s v="P-2026-14"/>
    <s v="HBA1C"/>
    <x v="2"/>
    <x v="1"/>
    <x v="4"/>
    <n v="9"/>
    <n v="6"/>
    <x v="1"/>
    <s v="Unique"/>
    <s v="Valid"/>
  </r>
  <r>
    <s v="P-2026-15"/>
    <s v="CSF Analysis"/>
    <x v="0"/>
    <x v="0"/>
    <x v="5"/>
    <n v="5"/>
    <n v="48"/>
    <x v="0"/>
    <s v="Unique"/>
    <s v="Valid"/>
  </r>
  <r>
    <s v="P-2026-16"/>
    <s v="RT-PCR (Respiratory Panel)"/>
    <x v="3"/>
    <x v="0"/>
    <x v="6"/>
    <n v="6"/>
    <n v="12"/>
    <x v="0"/>
    <s v="Unique"/>
    <s v="Valid"/>
  </r>
  <r>
    <s v="P-2026-17"/>
    <s v="Stool Culture"/>
    <x v="0"/>
    <x v="1"/>
    <x v="7"/>
    <n v="8"/>
    <n v="48"/>
    <x v="0"/>
    <s v="Unique"/>
    <s v="Valid"/>
  </r>
  <r>
    <s v="P-2026-18"/>
    <s v="Liver Function Test (LFT)"/>
    <x v="2"/>
    <x v="0"/>
    <x v="4"/>
    <n v="47"/>
    <n v="6"/>
    <x v="1"/>
    <s v="Unique"/>
    <s v="Valid"/>
  </r>
  <r>
    <s v="P-2026-19"/>
    <s v="Wound Swab Gram Stain"/>
    <x v="0"/>
    <x v="0"/>
    <x v="8"/>
    <n v="23"/>
    <n v="48"/>
    <x v="0"/>
    <s v="Unique"/>
    <s v="Valid"/>
  </r>
  <r>
    <s v="P-2026-20"/>
    <s v="Blood Culture and  Sensitivity"/>
    <x v="0"/>
    <x v="0"/>
    <x v="0"/>
    <n v="24"/>
    <n v="48"/>
    <x v="0"/>
    <s v="Unique"/>
    <s v="Valid"/>
  </r>
  <r>
    <s v="Patient_ID"/>
    <s v="Urine Culture"/>
    <x v="0"/>
    <x v="1"/>
    <x v="1"/>
    <n v="12"/>
    <n v="48"/>
    <x v="0"/>
    <s v="Duplicate"/>
    <s v="Valid"/>
  </r>
  <r>
    <s v="P-2026-21"/>
    <s v="CBC (Complete Blod Count)"/>
    <x v="1"/>
    <x v="1"/>
    <x v="2"/>
    <n v="52"/>
    <n v="4"/>
    <x v="1"/>
    <s v="Unique"/>
    <s v="Valid"/>
  </r>
  <r>
    <s v="P-2026-22"/>
    <s v="Sputum For AFB"/>
    <x v="0"/>
    <x v="1"/>
    <x v="3"/>
    <n v="7"/>
    <n v="48"/>
    <x v="0"/>
    <s v="Unique"/>
    <s v="Valid"/>
  </r>
  <r>
    <s v="P-2026-23"/>
    <s v="HBA1C"/>
    <x v="2"/>
    <x v="1"/>
    <x v="4"/>
    <n v="3"/>
    <n v="6"/>
    <x v="0"/>
    <s v="Unique"/>
    <s v="Valid"/>
  </r>
  <r>
    <s v="P-2026-24"/>
    <s v="CSF Analysis"/>
    <x v="0"/>
    <x v="0"/>
    <x v="5"/>
    <n v="2"/>
    <n v="48"/>
    <x v="0"/>
    <s v="Unique"/>
    <s v="Valid"/>
  </r>
  <r>
    <s v="P-2026-25"/>
    <s v="RT-PCR (Respiratory Panel)"/>
    <x v="3"/>
    <x v="0"/>
    <x v="6"/>
    <n v="32"/>
    <n v="12"/>
    <x v="1"/>
    <s v="Unique"/>
    <s v="Valid"/>
  </r>
  <r>
    <s v="P-2026-26"/>
    <s v="Stool Culture"/>
    <x v="0"/>
    <x v="1"/>
    <x v="7"/>
    <n v="4"/>
    <n v="48"/>
    <x v="0"/>
    <s v="Unique"/>
    <s v="Valid"/>
  </r>
  <r>
    <s v="P-2026-27"/>
    <s v="Liver Function Test (LFT)"/>
    <x v="2"/>
    <x v="0"/>
    <x v="4"/>
    <n v="5"/>
    <n v="6"/>
    <x v="0"/>
    <s v="Unique"/>
    <s v="Valid"/>
  </r>
  <r>
    <s v="P-2026-28"/>
    <s v="Wound Swab Gram Stain"/>
    <x v="0"/>
    <x v="0"/>
    <x v="8"/>
    <n v="6"/>
    <n v="48"/>
    <x v="0"/>
    <s v="Unique"/>
    <s v="Valid"/>
  </r>
  <r>
    <s v="P-2026-29"/>
    <s v="Blood Culture and  Sensitivity"/>
    <x v="0"/>
    <x v="0"/>
    <x v="0"/>
    <n v="7"/>
    <n v="48"/>
    <x v="0"/>
    <s v="Unique"/>
    <s v="Valid"/>
  </r>
  <r>
    <s v="P-2026-30"/>
    <s v="Urine Culture"/>
    <x v="0"/>
    <x v="1"/>
    <x v="1"/>
    <n v="38"/>
    <n v="48"/>
    <x v="0"/>
    <s v="Unique"/>
    <s v="Valid"/>
  </r>
  <r>
    <s v="Patient_ID"/>
    <s v="CBC (Complete Blod Count)"/>
    <x v="1"/>
    <x v="1"/>
    <x v="2"/>
    <n v="25"/>
    <n v="4"/>
    <x v="1"/>
    <s v="Duplicate"/>
    <s v="Valid"/>
  </r>
  <r>
    <s v="P-2026-31"/>
    <s v="Sputum For AFB"/>
    <x v="0"/>
    <x v="1"/>
    <x v="3"/>
    <n v="24"/>
    <n v="48"/>
    <x v="0"/>
    <s v="Unique"/>
    <s v="Valid"/>
  </r>
  <r>
    <s v="P-2026-32"/>
    <s v="HBA1C"/>
    <x v="2"/>
    <x v="1"/>
    <x v="4"/>
    <n v="8"/>
    <n v="6"/>
    <x v="1"/>
    <s v="Unique"/>
    <s v="Valid"/>
  </r>
  <r>
    <s v="P-2026-33"/>
    <s v="CSF Analysis"/>
    <x v="0"/>
    <x v="0"/>
    <x v="5"/>
    <n v="6"/>
    <n v="48"/>
    <x v="0"/>
    <s v="Unique"/>
    <s v="Valid"/>
  </r>
  <r>
    <s v="P-2026-34"/>
    <s v="RT-PCR (Respiratory Panel)"/>
    <x v="3"/>
    <x v="0"/>
    <x v="6"/>
    <n v="5"/>
    <n v="12"/>
    <x v="0"/>
    <s v="Unique"/>
    <s v="Valid"/>
  </r>
  <r>
    <s v="P-2026-35"/>
    <s v="Stool Culture"/>
    <x v="0"/>
    <x v="1"/>
    <x v="7"/>
    <n v="8"/>
    <n v="48"/>
    <x v="0"/>
    <s v="Unique"/>
    <s v="Valid"/>
  </r>
  <r>
    <s v="P-2026-36"/>
    <s v="Liver Function Test (LFT)"/>
    <x v="2"/>
    <x v="0"/>
    <x v="4"/>
    <n v="48"/>
    <n v="6"/>
    <x v="1"/>
    <s v="Unique"/>
    <s v="Valid"/>
  </r>
  <r>
    <s v="P-2026-37"/>
    <s v="Wound Swab Gram Stain"/>
    <x v="0"/>
    <x v="0"/>
    <x v="8"/>
    <n v="43"/>
    <n v="48"/>
    <x v="0"/>
    <s v="Unique"/>
    <s v="Valid"/>
  </r>
  <r>
    <s v="P-2026-38"/>
    <s v="Blood Culture and  Sensitivity"/>
    <x v="0"/>
    <x v="0"/>
    <x v="0"/>
    <n v="5"/>
    <n v="48"/>
    <x v="0"/>
    <s v="Unique"/>
    <s v="Valid"/>
  </r>
  <r>
    <s v="P-2026-39"/>
    <s v="Urine Culture"/>
    <x v="0"/>
    <x v="1"/>
    <x v="1"/>
    <n v="6"/>
    <n v="48"/>
    <x v="0"/>
    <s v="Unique"/>
    <s v="Valid"/>
  </r>
  <r>
    <s v="P-2026-40"/>
    <s v="CBC (Complete Blod Count)"/>
    <x v="1"/>
    <x v="1"/>
    <x v="2"/>
    <n v="7"/>
    <n v="4"/>
    <x v="1"/>
    <s v="Unique"/>
    <s v="Valid"/>
  </r>
  <r>
    <s v="Patient_ID"/>
    <s v="Sputum For AFB"/>
    <x v="0"/>
    <x v="1"/>
    <x v="3"/>
    <n v="4"/>
    <n v="48"/>
    <x v="0"/>
    <s v="Duplicate"/>
    <s v="Valid"/>
  </r>
  <r>
    <s v="P-2026-41"/>
    <s v="HBA1C"/>
    <x v="2"/>
    <x v="1"/>
    <x v="4"/>
    <n v="3"/>
    <n v="6"/>
    <x v="0"/>
    <s v="Unique"/>
    <s v="Valid"/>
  </r>
  <r>
    <s v="P-2026-42"/>
    <s v="CSF Analysis"/>
    <x v="0"/>
    <x v="0"/>
    <x v="5"/>
    <n v="2"/>
    <n v="48"/>
    <x v="0"/>
    <s v="Unique"/>
    <s v="Valid"/>
  </r>
  <r>
    <s v="P-2026-43"/>
    <s v="RT-PCR (Respiratory Panel)"/>
    <x v="3"/>
    <x v="0"/>
    <x v="6"/>
    <n v="7"/>
    <n v="12"/>
    <x v="0"/>
    <s v="Unique"/>
    <s v="Valid"/>
  </r>
  <r>
    <s v="P-2026-44"/>
    <s v="Stool Culture"/>
    <x v="0"/>
    <x v="1"/>
    <x v="7"/>
    <n v="8"/>
    <n v="48"/>
    <x v="0"/>
    <s v="Unique"/>
    <s v="Valid"/>
  </r>
  <r>
    <s v="P-2026-45"/>
    <s v="Liver Function Test (LFT)"/>
    <x v="2"/>
    <x v="0"/>
    <x v="4"/>
    <n v="36"/>
    <n v="6"/>
    <x v="1"/>
    <s v="Unique"/>
    <s v="Valid"/>
  </r>
  <r>
    <s v="P-2026-46"/>
    <s v="Wound Swab Gram Stain"/>
    <x v="0"/>
    <x v="0"/>
    <x v="8"/>
    <n v="42"/>
    <n v="48"/>
    <x v="0"/>
    <s v="Unique"/>
    <s v="Valid"/>
  </r>
  <r>
    <s v="P-2026-47"/>
    <s v="Blood Culture and  Sensitivity"/>
    <x v="0"/>
    <x v="0"/>
    <x v="0"/>
    <n v="39"/>
    <n v="48"/>
    <x v="0"/>
    <s v="Unique"/>
    <s v="Valid"/>
  </r>
  <r>
    <s v="P-2026-48"/>
    <s v="Urine Culture"/>
    <x v="0"/>
    <x v="1"/>
    <x v="1"/>
    <n v="4"/>
    <n v="48"/>
    <x v="0"/>
    <s v="Unique"/>
    <s v="Valid"/>
  </r>
  <r>
    <s v="P-2026-49"/>
    <s v="CBC (Complete Blod Count)"/>
    <x v="1"/>
    <x v="1"/>
    <x v="2"/>
    <n v="3"/>
    <n v="4"/>
    <x v="0"/>
    <s v="Unique"/>
    <s v="Valid"/>
  </r>
  <r>
    <s v="P-2026-50"/>
    <s v="Sputum For AFB"/>
    <x v="0"/>
    <x v="1"/>
    <x v="3"/>
    <n v="7"/>
    <n v="48"/>
    <x v="0"/>
    <s v="Unique"/>
    <s v="Valid"/>
  </r>
  <r>
    <s v="Patient_ID"/>
    <s v="HBA1C"/>
    <x v="2"/>
    <x v="1"/>
    <x v="4"/>
    <n v="6"/>
    <n v="6"/>
    <x v="0"/>
    <s v="Duplicate"/>
    <s v="Valid"/>
  </r>
  <r>
    <s v="P-2026-51"/>
    <s v="CSF Analysis"/>
    <x v="0"/>
    <x v="0"/>
    <x v="5"/>
    <n v="5"/>
    <n v="48"/>
    <x v="0"/>
    <s v="Unique"/>
    <s v="Valid"/>
  </r>
  <r>
    <s v="P-2026-52"/>
    <s v="RT-PCR (Respiratory Panel)"/>
    <x v="3"/>
    <x v="0"/>
    <x v="6"/>
    <n v="8"/>
    <n v="12"/>
    <x v="0"/>
    <s v="Unique"/>
    <s v="Valid"/>
  </r>
  <r>
    <s v="P-2026-53"/>
    <s v="Stool Culture"/>
    <x v="0"/>
    <x v="1"/>
    <x v="7"/>
    <n v="5"/>
    <n v="48"/>
    <x v="0"/>
    <s v="Unique"/>
    <s v="Valid"/>
  </r>
  <r>
    <s v="P-2026-54"/>
    <s v="Liver Function Test (LFT)"/>
    <x v="2"/>
    <x v="0"/>
    <x v="4"/>
    <n v="4"/>
    <n v="6"/>
    <x v="0"/>
    <s v="Unique"/>
    <s v="Valid"/>
  </r>
  <r>
    <s v="P-2026-55"/>
    <s v="Wound Swab Gram Stain"/>
    <x v="0"/>
    <x v="0"/>
    <x v="8"/>
    <n v="3"/>
    <n v="48"/>
    <x v="0"/>
    <s v="Unique"/>
    <s v="Valid"/>
  </r>
  <r>
    <s v="P-2026-56"/>
    <s v="Blood Culture and  Sensitivity"/>
    <x v="0"/>
    <x v="0"/>
    <x v="0"/>
    <n v="5"/>
    <n v="48"/>
    <x v="0"/>
    <s v="Unique"/>
    <s v="Valid"/>
  </r>
  <r>
    <s v="P-2026-57"/>
    <s v="Urine Culture"/>
    <x v="0"/>
    <x v="1"/>
    <x v="1"/>
    <n v="6"/>
    <n v="48"/>
    <x v="0"/>
    <s v="Unique"/>
    <s v="Valid"/>
  </r>
  <r>
    <s v="P-2026-58"/>
    <s v="CBC (Complete Blod Count)"/>
    <x v="1"/>
    <x v="1"/>
    <x v="2"/>
    <n v="46"/>
    <n v="4"/>
    <x v="1"/>
    <s v="Unique"/>
    <s v="Valid"/>
  </r>
  <r>
    <s v="P-2026-59"/>
    <s v="Sputum For AFB"/>
    <x v="0"/>
    <x v="1"/>
    <x v="3"/>
    <n v="37"/>
    <n v="48"/>
    <x v="0"/>
    <s v="Unique"/>
    <s v="Valid"/>
  </r>
  <r>
    <s v="P-2026-60"/>
    <s v="HBA1C"/>
    <x v="2"/>
    <x v="1"/>
    <x v="4"/>
    <n v="46"/>
    <n v="6"/>
    <x v="1"/>
    <s v="Unique"/>
    <s v="Valid"/>
  </r>
  <r>
    <s v="Patient_ID"/>
    <s v="CSF Analysis"/>
    <x v="0"/>
    <x v="0"/>
    <x v="5"/>
    <n v="42"/>
    <n v="48"/>
    <x v="0"/>
    <s v="Duplicate"/>
    <s v="Valid"/>
  </r>
  <r>
    <s v="P-2026-61"/>
    <s v="RT-PCR (Respiratory Panel)"/>
    <x v="3"/>
    <x v="0"/>
    <x v="6"/>
    <n v="26"/>
    <n v="12"/>
    <x v="1"/>
    <s v="Unique"/>
    <s v="Valid"/>
  </r>
  <r>
    <s v="P-2026-62"/>
    <s v="Stool Culture"/>
    <x v="0"/>
    <x v="1"/>
    <x v="7"/>
    <n v="27"/>
    <n v="48"/>
    <x v="0"/>
    <s v="Unique"/>
    <s v="Valid"/>
  </r>
  <r>
    <s v="P-2026-63"/>
    <s v="Liver Function Test (LFT)"/>
    <x v="2"/>
    <x v="0"/>
    <x v="4"/>
    <n v="28"/>
    <n v="6"/>
    <x v="1"/>
    <s v="Unique"/>
    <s v="Valid"/>
  </r>
  <r>
    <s v="P-2026-64"/>
    <s v="Wound Swab Gram Stain"/>
    <x v="0"/>
    <x v="0"/>
    <x v="8"/>
    <n v="29"/>
    <n v="48"/>
    <x v="0"/>
    <s v="Unique"/>
    <s v="Valid"/>
  </r>
  <r>
    <s v="P-2026-65"/>
    <s v="Blood Culture and  Sensitivity"/>
    <x v="0"/>
    <x v="0"/>
    <x v="0"/>
    <n v="27"/>
    <n v="48"/>
    <x v="0"/>
    <s v="Unique"/>
    <s v="Valid"/>
  </r>
  <r>
    <s v="P-2026-66"/>
    <s v="Urine Culture"/>
    <x v="0"/>
    <x v="1"/>
    <x v="1"/>
    <n v="35"/>
    <n v="48"/>
    <x v="0"/>
    <s v="Unique"/>
    <s v="Valid"/>
  </r>
  <r>
    <s v="P-2026-67"/>
    <s v="CBC (Complete Blod Count)"/>
    <x v="1"/>
    <x v="1"/>
    <x v="2"/>
    <n v="37"/>
    <n v="4"/>
    <x v="1"/>
    <s v="Unique"/>
    <s v="Valid"/>
  </r>
  <r>
    <s v="P-2026-68"/>
    <s v="Sputum For AFB"/>
    <x v="0"/>
    <x v="1"/>
    <x v="3"/>
    <n v="46"/>
    <n v="48"/>
    <x v="0"/>
    <s v="Unique"/>
    <s v="Valid"/>
  </r>
  <r>
    <s v="P-2026-69"/>
    <s v="HBA1C"/>
    <x v="2"/>
    <x v="1"/>
    <x v="4"/>
    <n v="44"/>
    <n v="6"/>
    <x v="1"/>
    <s v="Unique"/>
    <s v="Valid"/>
  </r>
  <r>
    <s v="P-2026-70"/>
    <s v="CSF Analysis"/>
    <x v="0"/>
    <x v="0"/>
    <x v="5"/>
    <n v="42"/>
    <n v="48"/>
    <x v="0"/>
    <s v="Unique"/>
    <s v="Valid"/>
  </r>
  <r>
    <s v="Patient_ID"/>
    <s v="RT-PCR (Respiratory Panel)"/>
    <x v="3"/>
    <x v="0"/>
    <x v="6"/>
    <n v="25"/>
    <n v="12"/>
    <x v="1"/>
    <s v="Duplicate"/>
    <s v="Valid"/>
  </r>
  <r>
    <s v="P-2026-71"/>
    <s v="Stool Culture"/>
    <x v="0"/>
    <x v="1"/>
    <x v="7"/>
    <n v="35"/>
    <n v="48"/>
    <x v="0"/>
    <s v="Unique"/>
    <s v="Valid"/>
  </r>
  <r>
    <s v="P-2026-72"/>
    <s v="Liver Function Test (LFT)"/>
    <x v="2"/>
    <x v="0"/>
    <x v="4"/>
    <n v="47"/>
    <n v="6"/>
    <x v="1"/>
    <s v="Unique"/>
    <s v="Valid"/>
  </r>
  <r>
    <s v="P-2026-73"/>
    <s v="Wound Swab Gram Stain"/>
    <x v="0"/>
    <x v="0"/>
    <x v="8"/>
    <n v="8"/>
    <n v="48"/>
    <x v="0"/>
    <s v="Unique"/>
    <s v="Valid"/>
  </r>
  <r>
    <s v="P-2026-74"/>
    <s v="Blood Culture and  Sensitivity"/>
    <x v="0"/>
    <x v="0"/>
    <x v="0"/>
    <n v="9"/>
    <n v="48"/>
    <x v="0"/>
    <s v="Unique"/>
    <s v="Valid"/>
  </r>
  <r>
    <s v="P-2026-75"/>
    <s v="Urine Culture"/>
    <x v="0"/>
    <x v="1"/>
    <x v="1"/>
    <n v="7"/>
    <n v="48"/>
    <x v="0"/>
    <s v="Unique"/>
    <s v="Valid"/>
  </r>
  <r>
    <s v="P-2026-76"/>
    <s v="CBC (Complete Blod Count)"/>
    <x v="1"/>
    <x v="1"/>
    <x v="2"/>
    <n v="8"/>
    <n v="4"/>
    <x v="1"/>
    <s v="Unique"/>
    <s v="Valid"/>
  </r>
  <r>
    <s v="P-2026-77"/>
    <s v="Sputum For AFB"/>
    <x v="0"/>
    <x v="1"/>
    <x v="3"/>
    <n v="6"/>
    <n v="48"/>
    <x v="0"/>
    <s v="Unique"/>
    <s v="Valid"/>
  </r>
  <r>
    <s v="P-2026-78"/>
    <s v="HBA1C"/>
    <x v="2"/>
    <x v="1"/>
    <x v="4"/>
    <n v="5"/>
    <n v="6"/>
    <x v="0"/>
    <s v="Unique"/>
    <s v="Valid"/>
  </r>
  <r>
    <s v="P-2026-79"/>
    <s v="CSF Analysis"/>
    <x v="0"/>
    <x v="0"/>
    <x v="5"/>
    <n v="4"/>
    <n v="48"/>
    <x v="0"/>
    <s v="Unique"/>
    <s v="Valid"/>
  </r>
  <r>
    <s v="P-2026-80"/>
    <s v="RT-PCR (Respiratory Panel)"/>
    <x v="3"/>
    <x v="0"/>
    <x v="6"/>
    <n v="3"/>
    <n v="12"/>
    <x v="0"/>
    <s v="Unique"/>
    <s v="Valid"/>
  </r>
  <r>
    <s v="Patient_ID"/>
    <s v="Stool Culture"/>
    <x v="0"/>
    <x v="1"/>
    <x v="7"/>
    <n v="2"/>
    <n v="48"/>
    <x v="0"/>
    <s v="Duplicate"/>
    <s v="Valid"/>
  </r>
  <r>
    <s v="P-2026-81"/>
    <s v="Liver Function Test (LFT)"/>
    <x v="2"/>
    <x v="0"/>
    <x v="4"/>
    <n v="5"/>
    <n v="6"/>
    <x v="0"/>
    <s v="Unique"/>
    <s v="Valid"/>
  </r>
  <r>
    <s v="P-2026-82"/>
    <s v="Wound Swab Gram Stain"/>
    <x v="0"/>
    <x v="0"/>
    <x v="8"/>
    <n v="6"/>
    <n v="48"/>
    <x v="0"/>
    <s v="Unique"/>
    <s v="Valid"/>
  </r>
  <r>
    <s v="P-2026-83"/>
    <s v="Blood Culture and  Sensitivity"/>
    <x v="0"/>
    <x v="0"/>
    <x v="0"/>
    <n v="7"/>
    <n v="48"/>
    <x v="0"/>
    <s v="Unique"/>
    <s v="Valid"/>
  </r>
  <r>
    <s v="P-2026-84"/>
    <s v="Urine Culture"/>
    <x v="0"/>
    <x v="1"/>
    <x v="1"/>
    <n v="8"/>
    <n v="48"/>
    <x v="0"/>
    <s v="Unique"/>
    <s v="Valid"/>
  </r>
  <r>
    <s v="P-2026-85"/>
    <s v="CBC (Complete Blod Count)"/>
    <x v="1"/>
    <x v="1"/>
    <x v="2"/>
    <n v="47"/>
    <n v="4"/>
    <x v="1"/>
    <s v="Unique"/>
    <s v="Valid"/>
  </r>
  <r>
    <s v="P-2026-86"/>
    <s v="Sputum For AFB"/>
    <x v="0"/>
    <x v="1"/>
    <x v="3"/>
    <n v="5"/>
    <n v="48"/>
    <x v="0"/>
    <s v="Unique"/>
    <s v="Valid"/>
  </r>
  <r>
    <s v="P-2026-87"/>
    <s v="HBA1C"/>
    <x v="2"/>
    <x v="1"/>
    <x v="4"/>
    <n v="37"/>
    <n v="6"/>
    <x v="1"/>
    <s v="Unique"/>
    <s v="Valid"/>
  </r>
  <r>
    <s v="P-2026-88"/>
    <s v="CSF Analysis"/>
    <x v="0"/>
    <x v="0"/>
    <x v="5"/>
    <n v="36"/>
    <n v="48"/>
    <x v="0"/>
    <s v="Unique"/>
    <s v="Valid"/>
  </r>
  <r>
    <s v="P-2026-89"/>
    <s v="RT-PCR (Respiratory Panel)"/>
    <x v="3"/>
    <x v="0"/>
    <x v="6"/>
    <n v="37"/>
    <n v="12"/>
    <x v="1"/>
    <s v="Unique"/>
    <s v="Valid"/>
  </r>
  <r>
    <s v="P-2026-90"/>
    <s v="Stool Culture"/>
    <x v="0"/>
    <x v="1"/>
    <x v="7"/>
    <n v="35"/>
    <n v="48"/>
    <x v="0"/>
    <s v="Unique"/>
    <s v="Valid"/>
  </r>
  <r>
    <s v="Patient_ID"/>
    <s v="Liver Function Test (LFT)"/>
    <x v="2"/>
    <x v="0"/>
    <x v="4"/>
    <n v="43"/>
    <n v="6"/>
    <x v="1"/>
    <s v="Duplicate"/>
    <s v="Valid"/>
  </r>
  <r>
    <s v="P-2026-91"/>
    <s v="Wound Swab Gram Stain"/>
    <x v="0"/>
    <x v="0"/>
    <x v="8"/>
    <n v="25"/>
    <n v="48"/>
    <x v="0"/>
    <s v="Unique"/>
    <s v="Valid"/>
  </r>
  <r>
    <s v="P-2026-92"/>
    <s v="Blood Culture and  Sensitivity"/>
    <x v="0"/>
    <x v="0"/>
    <x v="0"/>
    <n v="37"/>
    <n v="48"/>
    <x v="0"/>
    <s v="Unique"/>
    <s v="Valid"/>
  </r>
  <r>
    <s v="P-2026-93"/>
    <s v="Urine Culture"/>
    <x v="0"/>
    <x v="1"/>
    <x v="1"/>
    <n v="27"/>
    <n v="48"/>
    <x v="0"/>
    <s v="Unique"/>
    <s v="Valid"/>
  </r>
  <r>
    <s v="P-2026-94"/>
    <s v="CBC (Complete Blod Count)"/>
    <x v="1"/>
    <x v="1"/>
    <x v="2"/>
    <n v="38"/>
    <n v="4"/>
    <x v="1"/>
    <s v="Unique"/>
    <s v="Valid"/>
  </r>
  <r>
    <s v="P-2026-95"/>
    <s v="Sputum For AFB"/>
    <x v="0"/>
    <x v="1"/>
    <x v="3"/>
    <n v="35"/>
    <n v="48"/>
    <x v="0"/>
    <s v="Unique"/>
    <s v="Valid"/>
  </r>
  <r>
    <s v="P-2026-96"/>
    <s v="HBA1C"/>
    <x v="2"/>
    <x v="1"/>
    <x v="4"/>
    <n v="6"/>
    <n v="6"/>
    <x v="0"/>
    <s v="Unique"/>
    <s v="Valid"/>
  </r>
  <r>
    <s v="P-2026-97"/>
    <s v="CSF Analysis"/>
    <x v="0"/>
    <x v="0"/>
    <x v="5"/>
    <n v="34"/>
    <n v="48"/>
    <x v="0"/>
    <s v="Unique"/>
    <s v="Valid"/>
  </r>
  <r>
    <s v="P-2026-98"/>
    <s v="RT-PCR (Respiratory Panel)"/>
    <x v="3"/>
    <x v="0"/>
    <x v="6"/>
    <n v="12"/>
    <n v="12"/>
    <x v="0"/>
    <s v="Unique"/>
    <s v="Valid"/>
  </r>
  <r>
    <s v="P-2026-99"/>
    <s v="Stool Culture"/>
    <x v="0"/>
    <x v="1"/>
    <x v="7"/>
    <n v="13"/>
    <n v="48"/>
    <x v="0"/>
    <s v="Unique"/>
    <s v="Valid"/>
  </r>
  <r>
    <s v="P-2026-100"/>
    <s v="Liver Function Test (LFT)"/>
    <x v="2"/>
    <x v="0"/>
    <x v="4"/>
    <n v="14"/>
    <n v="6"/>
    <x v="1"/>
    <s v="Unique"/>
    <s v="Valid"/>
  </r>
  <r>
    <s v="Patient_ID"/>
    <s v="Wound Swab Gram Stain"/>
    <x v="0"/>
    <x v="0"/>
    <x v="8"/>
    <n v="15"/>
    <n v="48"/>
    <x v="0"/>
    <s v="Duplicate"/>
    <s v="Valid"/>
  </r>
  <r>
    <s v="P-2026-101"/>
    <s v="Blood Culture and  Sensitivity"/>
    <x v="0"/>
    <x v="0"/>
    <x v="0"/>
    <n v="26"/>
    <n v="48"/>
    <x v="0"/>
    <s v="Unique"/>
    <s v="Valid"/>
  </r>
  <r>
    <s v="P-2026-102"/>
    <s v="Urine Culture"/>
    <x v="0"/>
    <x v="1"/>
    <x v="1"/>
    <n v="27"/>
    <n v="48"/>
    <x v="0"/>
    <s v="Unique"/>
    <s v="Valid"/>
  </r>
  <r>
    <s v="P-2026-103"/>
    <s v="CBC (Complete Blod Count)"/>
    <x v="1"/>
    <x v="1"/>
    <x v="2"/>
    <n v="28"/>
    <n v="4"/>
    <x v="1"/>
    <s v="Unique"/>
    <s v="Valid"/>
  </r>
  <r>
    <s v="P-2026-104"/>
    <s v="Sputum For AFB"/>
    <x v="0"/>
    <x v="1"/>
    <x v="3"/>
    <n v="29"/>
    <n v="48"/>
    <x v="0"/>
    <s v="Unique"/>
    <s v="Valid"/>
  </r>
  <r>
    <s v="P-2026-105"/>
    <s v="HBA1C"/>
    <x v="2"/>
    <x v="1"/>
    <x v="4"/>
    <n v="47"/>
    <n v="6"/>
    <x v="1"/>
    <s v="Unique"/>
    <s v="Valid"/>
  </r>
  <r>
    <s v="P-2026-106"/>
    <s v="CSF Analysis"/>
    <x v="0"/>
    <x v="0"/>
    <x v="5"/>
    <n v="35"/>
    <n v="48"/>
    <x v="0"/>
    <s v="Unique"/>
    <s v="Valid"/>
  </r>
  <r>
    <s v="P-2026-107"/>
    <s v="RT-PCR (Respiratory Panel)"/>
    <x v="3"/>
    <x v="0"/>
    <x v="6"/>
    <n v="43"/>
    <n v="12"/>
    <x v="1"/>
    <s v="Unique"/>
    <s v="Valid"/>
  </r>
  <r>
    <s v="P-2026-108"/>
    <s v="Stool Culture"/>
    <x v="0"/>
    <x v="1"/>
    <x v="7"/>
    <n v="32"/>
    <n v="48"/>
    <x v="0"/>
    <s v="Unique"/>
    <s v="Valid"/>
  </r>
  <r>
    <s v="P-2026-109"/>
    <s v="Liver Function Test (LFT)"/>
    <x v="2"/>
    <x v="0"/>
    <x v="4"/>
    <n v="31"/>
    <n v="6"/>
    <x v="1"/>
    <s v="Unique"/>
    <s v="Valid"/>
  </r>
  <r>
    <s v="P-2026-110"/>
    <s v="Wound Swab Gram Stain"/>
    <x v="0"/>
    <x v="0"/>
    <x v="8"/>
    <n v="34"/>
    <n v="48"/>
    <x v="0"/>
    <s v="Unique"/>
    <s v="Valid"/>
  </r>
  <r>
    <s v="Patient_ID"/>
    <s v="Blood Culture and  Sensitivity"/>
    <x v="0"/>
    <x v="0"/>
    <x v="0"/>
    <n v="25"/>
    <n v="48"/>
    <x v="0"/>
    <s v="Duplicate"/>
    <s v="Valid"/>
  </r>
  <r>
    <s v="P-2026-111"/>
    <s v="Urine Culture"/>
    <x v="0"/>
    <x v="1"/>
    <x v="1"/>
    <n v="26"/>
    <n v="48"/>
    <x v="0"/>
    <s v="Unique"/>
    <s v="Valid"/>
  </r>
  <r>
    <s v="P-2026-112"/>
    <s v="CBC (Complete Blod Count)"/>
    <x v="1"/>
    <x v="1"/>
    <x v="2"/>
    <n v="27"/>
    <n v="4"/>
    <x v="1"/>
    <s v="Unique"/>
    <s v="Valid"/>
  </r>
  <r>
    <s v="P-2026-113"/>
    <s v="Sputum For AFB"/>
    <x v="0"/>
    <x v="1"/>
    <x v="3"/>
    <n v="38"/>
    <n v="48"/>
    <x v="0"/>
    <s v="Unique"/>
    <s v="Valid"/>
  </r>
  <r>
    <s v="P-2026-114"/>
    <s v="HBA1C"/>
    <x v="2"/>
    <x v="1"/>
    <x v="4"/>
    <n v="43"/>
    <n v="6"/>
    <x v="1"/>
    <s v="Unique"/>
    <s v="Valid"/>
  </r>
  <r>
    <s v="P-2026-115"/>
    <s v="CSF Analysis"/>
    <x v="0"/>
    <x v="0"/>
    <x v="5"/>
    <n v="32"/>
    <n v="48"/>
    <x v="0"/>
    <s v="Unique"/>
    <s v="Valid"/>
  </r>
  <r>
    <s v="P-2026-116"/>
    <s v="RT-PCR (Respiratory Panel)"/>
    <x v="3"/>
    <x v="0"/>
    <x v="6"/>
    <n v="31"/>
    <n v="12"/>
    <x v="1"/>
    <s v="Unique"/>
    <s v="Valid"/>
  </r>
  <r>
    <s v="P-2026-117"/>
    <s v="Stool Culture"/>
    <x v="0"/>
    <x v="1"/>
    <x v="7"/>
    <n v="4"/>
    <n v="48"/>
    <x v="0"/>
    <s v="Unique"/>
    <s v="Valid"/>
  </r>
  <r>
    <s v="P-2026-118"/>
    <s v="Liver Function Test (LFT)"/>
    <x v="2"/>
    <x v="0"/>
    <x v="4"/>
    <n v="5"/>
    <n v="6"/>
    <x v="0"/>
    <s v="Unique"/>
    <s v="Valid"/>
  </r>
  <r>
    <s v="P-2026-119"/>
    <s v="Wound Swab Gram Stain"/>
    <x v="0"/>
    <x v="0"/>
    <x v="8"/>
    <n v="6"/>
    <n v="48"/>
    <x v="0"/>
    <s v="Unique"/>
    <s v="Valid"/>
  </r>
  <r>
    <s v="P-2026-120"/>
    <s v="Blood Culture and  Sensitivity"/>
    <x v="0"/>
    <x v="0"/>
    <x v="0"/>
    <n v="7"/>
    <n v="48"/>
    <x v="0"/>
    <s v="Unique"/>
    <s v="Valid"/>
  </r>
  <r>
    <s v="Patient_ID"/>
    <s v="Urine Culture"/>
    <x v="0"/>
    <x v="1"/>
    <x v="1"/>
    <n v="8"/>
    <n v="48"/>
    <x v="0"/>
    <s v="Duplicate"/>
    <s v="Valid"/>
  </r>
  <r>
    <s v="P-2026-121"/>
    <s v="CBC (Complete Blod Count)"/>
    <x v="1"/>
    <x v="1"/>
    <x v="2"/>
    <n v="9"/>
    <n v="4"/>
    <x v="1"/>
    <s v="Unique"/>
    <s v="Valid"/>
  </r>
  <r>
    <s v="P-2026-122"/>
    <s v="Sputum For AFB"/>
    <x v="0"/>
    <x v="1"/>
    <x v="3"/>
    <n v="7"/>
    <n v="48"/>
    <x v="0"/>
    <s v="Unique"/>
    <s v="Valid"/>
  </r>
  <r>
    <s v="P-2026-123"/>
    <s v="HBA1C"/>
    <x v="2"/>
    <x v="1"/>
    <x v="4"/>
    <n v="6"/>
    <n v="6"/>
    <x v="0"/>
    <s v="Unique"/>
    <s v="Valid"/>
  </r>
  <r>
    <s v="P-2026-124"/>
    <s v="CSF Analysis"/>
    <x v="0"/>
    <x v="0"/>
    <x v="5"/>
    <n v="5"/>
    <n v="48"/>
    <x v="0"/>
    <s v="Unique"/>
    <s v="Valid"/>
  </r>
  <r>
    <s v="P-2026-125"/>
    <s v="RT-PCR (Respiratory Panel)"/>
    <x v="3"/>
    <x v="0"/>
    <x v="6"/>
    <n v="4"/>
    <n v="12"/>
    <x v="0"/>
    <s v="Unique"/>
    <s v="Valid"/>
  </r>
  <r>
    <s v="P-2026-126"/>
    <s v="Stool Culture"/>
    <x v="0"/>
    <x v="1"/>
    <x v="7"/>
    <n v="5"/>
    <n v="48"/>
    <x v="0"/>
    <s v="Unique"/>
    <s v="Valid"/>
  </r>
  <r>
    <s v="P-2026-127"/>
    <s v="Liver Function Test (LFT)"/>
    <x v="2"/>
    <x v="0"/>
    <x v="4"/>
    <n v="6"/>
    <n v="6"/>
    <x v="0"/>
    <s v="Unique"/>
    <s v="Valid"/>
  </r>
  <r>
    <s v="P-2026-128"/>
    <s v="Wound Swab Gram Stain"/>
    <x v="0"/>
    <x v="0"/>
    <x v="8"/>
    <n v="7"/>
    <n v="48"/>
    <x v="0"/>
    <s v="Unique"/>
    <s v="Valid"/>
  </r>
  <r>
    <s v="P-2026-129"/>
    <s v="Blood Culture and  Sensitivity"/>
    <x v="0"/>
    <x v="0"/>
    <x v="0"/>
    <n v="4"/>
    <n v="48"/>
    <x v="0"/>
    <s v="Unique"/>
    <s v="Valid"/>
  </r>
  <r>
    <s v="P-2026-130"/>
    <s v="Urine Culture"/>
    <x v="0"/>
    <x v="1"/>
    <x v="1"/>
    <n v="5"/>
    <n v="48"/>
    <x v="0"/>
    <s v="Unique"/>
    <s v="Valid"/>
  </r>
  <r>
    <s v="Patient_ID"/>
    <s v="CBC (Complete Blod Count)"/>
    <x v="1"/>
    <x v="1"/>
    <x v="2"/>
    <n v="5"/>
    <n v="4"/>
    <x v="1"/>
    <s v="Duplicate"/>
    <s v="Valid"/>
  </r>
  <r>
    <s v="P-2026-131"/>
    <s v="Sputum For AFB"/>
    <x v="0"/>
    <x v="1"/>
    <x v="3"/>
    <n v="26"/>
    <n v="48"/>
    <x v="0"/>
    <s v="Unique"/>
    <s v="Valid"/>
  </r>
  <r>
    <s v="P-2026-132"/>
    <s v="HBA1C"/>
    <x v="2"/>
    <x v="1"/>
    <x v="4"/>
    <n v="36"/>
    <n v="6"/>
    <x v="1"/>
    <s v="Unique"/>
    <s v="Valid"/>
  </r>
  <r>
    <s v="P-2026-133"/>
    <s v="CSF Analysis"/>
    <x v="0"/>
    <x v="0"/>
    <x v="5"/>
    <n v="48"/>
    <n v="48"/>
    <x v="0"/>
    <s v="Unique"/>
    <s v="Valid"/>
  </r>
  <r>
    <s v="P-2026-134"/>
    <s v="RT-PCR (Respiratory Panel)"/>
    <x v="3"/>
    <x v="0"/>
    <x v="6"/>
    <n v="36"/>
    <n v="12"/>
    <x v="1"/>
    <s v="Unique"/>
    <s v="Valid"/>
  </r>
  <r>
    <s v="P-2026-135"/>
    <s v="Stool Culture"/>
    <x v="0"/>
    <x v="1"/>
    <x v="7"/>
    <n v="37"/>
    <n v="48"/>
    <x v="0"/>
    <s v="Unique"/>
    <s v="Valid"/>
  </r>
  <r>
    <s v="P-2026-136"/>
    <s v="Liver Function Test (LFT)"/>
    <x v="2"/>
    <x v="0"/>
    <x v="4"/>
    <n v="5"/>
    <n v="6"/>
    <x v="0"/>
    <s v="Unique"/>
    <s v="Valid"/>
  </r>
  <r>
    <m/>
    <m/>
    <x v="4"/>
    <x v="2"/>
    <x v="9"/>
    <m/>
    <m/>
    <x v="2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1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9">
  <location ref="A3:B8" firstHeaderRow="1" firstDataRow="1" firstDataCol="1"/>
  <pivotFields count="10">
    <pivotField dataField="1" showAll="0"/>
    <pivotField showAll="0"/>
    <pivotField axis="axisRow" showAll="0">
      <items count="6">
        <item x="2"/>
        <item x="1"/>
        <item x="0"/>
        <item x="3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atient_ID" fld="0" subtotal="count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1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60">
  <location ref="A3:C8" firstHeaderRow="0" firstDataRow="1" firstDataCol="1"/>
  <pivotFields count="10">
    <pivotField showAll="0"/>
    <pivotField showAll="0"/>
    <pivotField axis="axisRow" showAll="0">
      <items count="6">
        <item x="2"/>
        <item x="1"/>
        <item x="0"/>
        <item x="3"/>
        <item h="1"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Min_TAT" fld="5" subtotal="min" baseField="2" baseItem="0"/>
    <dataField name="Max_TAT" fld="5" subtotal="max" baseField="2" baseItem="0"/>
  </dataFields>
  <chartFormats count="2">
    <chartFormat chart="5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6" cacheId="1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">
  <location ref="A3:D7" firstHeaderRow="1" firstDataRow="2" firstDataCol="1"/>
  <pivotFields count="10">
    <pivotField dataField="1" showAll="0"/>
    <pivotField showAll="0"/>
    <pivotField showAll="0"/>
    <pivotField axis="axisRow" showAll="0">
      <items count="4">
        <item x="1"/>
        <item x="0"/>
        <item h="1" x="2"/>
        <item t="default"/>
      </items>
    </pivotField>
    <pivotField showAll="0"/>
    <pivotField showAll="0"/>
    <pivotField showAll="0"/>
    <pivotField axis="axisCol" showAll="0">
      <items count="4">
        <item x="1"/>
        <item x="0"/>
        <item h="1" x="2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Count of Patient_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7" cacheId="1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13" firstHeaderRow="1" firstDataRow="1" firstDataCol="1"/>
  <pivotFields count="10">
    <pivotField showAll="0"/>
    <pivotField showAll="0"/>
    <pivotField showAll="0"/>
    <pivotField showAll="0"/>
    <pivotField axis="axisRow" showAll="0" sortType="descending">
      <items count="11">
        <item x="5"/>
        <item x="2"/>
        <item x="6"/>
        <item x="8"/>
        <item x="4"/>
        <item x="3"/>
        <item x="7"/>
        <item x="1"/>
        <item x="0"/>
        <item h="1"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</pivotFields>
  <rowFields count="1">
    <field x="4"/>
  </rowFields>
  <rowItems count="10">
    <i>
      <x v="1"/>
    </i>
    <i>
      <x v="5"/>
    </i>
    <i>
      <x v="4"/>
    </i>
    <i>
      <x/>
    </i>
    <i>
      <x v="8"/>
    </i>
    <i>
      <x v="2"/>
    </i>
    <i>
      <x v="6"/>
    </i>
    <i>
      <x v="3"/>
    </i>
    <i>
      <x v="7"/>
    </i>
    <i t="grand">
      <x/>
    </i>
  </rowItems>
  <colItems count="1">
    <i/>
  </colItems>
  <dataFields count="1">
    <dataField name="Average of Actual_TAT_Hours" fld="5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2" cacheId="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C9" firstHeaderRow="0" firstDataRow="1" firstDataCol="1"/>
  <pivotFields count="8">
    <pivotField showAll="0"/>
    <pivotField showAll="0"/>
    <pivotField axis="axisRow"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dataField="1" showAll="0">
      <items count="36">
        <item x="9"/>
        <item x="8"/>
        <item x="2"/>
        <item x="4"/>
        <item x="10"/>
        <item x="14"/>
        <item x="5"/>
        <item x="11"/>
        <item x="6"/>
        <item x="30"/>
        <item x="31"/>
        <item x="32"/>
        <item x="13"/>
        <item x="3"/>
        <item x="17"/>
        <item x="23"/>
        <item x="24"/>
        <item x="25"/>
        <item x="26"/>
        <item x="33"/>
        <item x="15"/>
        <item x="29"/>
        <item x="27"/>
        <item x="0"/>
        <item x="22"/>
        <item x="16"/>
        <item x="20"/>
        <item x="19"/>
        <item x="18"/>
        <item x="28"/>
        <item x="21"/>
        <item x="12"/>
        <item x="1"/>
        <item x="7"/>
        <item x="34"/>
        <item t="default"/>
      </items>
    </pivotField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Max of Actual_TAT_Hours" fld="5" subtotal="max" baseField="2" baseItem="0"/>
    <dataField name="Min of Actual_TAT_Hours2" fld="5" subtotal="min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2" displayName="Table2" ref="S136:S137" insertRow="1" totalsRowShown="0">
  <autoFilter ref="S136:S137"/>
  <tableColumns count="1">
    <tableColumn id="1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6" name="Table6" displayName="Table6" ref="A1:J150" totalsRowShown="0">
  <autoFilter ref="A1:J150"/>
  <tableColumns count="10">
    <tableColumn id="1" name="Patient_ID"/>
    <tableColumn id="2" name="Test_Name"/>
    <tableColumn id="3" name="Department"/>
    <tableColumn id="4" name="Urgency"/>
    <tableColumn id="5" name="Sample_Type"/>
    <tableColumn id="6" name="Actual_TAT_Hours" dataDxfId="0"/>
    <tableColumn id="7" name="Target_TAT">
      <calculatedColumnFormula>VLOOKUP(C2,Master_Targets!$A$2:$B$5,2,0)</calculatedColumnFormula>
    </tableColumn>
    <tableColumn id="8" name="Status">
      <calculatedColumnFormula>IF(F2&gt;G2,"Delayed","On-Time")</calculatedColumnFormula>
    </tableColumn>
    <tableColumn id="9" name="Data_Quality_ID">
      <calculatedColumnFormula>IF(COUNTIF($A$2:$A$150,A2)&gt;1,"Duplicate","Unique")</calculatedColumnFormula>
    </tableColumn>
    <tableColumn id="10" name="Data_Error_Chec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" name="Table1" displayName="Table1" ref="A1:B6" totalsRowShown="0">
  <autoFilter ref="A1:B6"/>
  <tableColumns count="2">
    <tableColumn id="1" name="Department"/>
    <tableColumn id="2" name="Standard_Target_Hour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5" name="Table5" displayName="Table5" ref="A1:D5" totalsRowShown="0">
  <autoFilter ref="A1:D5"/>
  <tableColumns count="4">
    <tableColumn id="1" name="Department"/>
    <tableColumn id="2" name="Total_Actual_Hours">
      <calculatedColumnFormula>SUMIFS(Lab_Diagnostics_TAT_Project!$F$2:$F$150,Lab_Diagnostics_TAT_Project!$C$2:$C$150,A2)</calculatedColumnFormula>
    </tableColumn>
    <tableColumn id="3" name="Average_Actual_Hours">
      <calculatedColumnFormula>AVERAGEIFS(Lab_Diagnostics_TAT_Project!$F$2:$F$150,Lab_Diagnostics_TAT_Project!$C$2:$C$150,A2)</calculatedColumnFormula>
    </tableColumn>
    <tableColumn id="4" name="Total_Test_Counts">
      <calculatedColumnFormula>COUNTIFS(Lab_Diagnostics_TAT_Project!$C$2:$C$150,A2)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B3" sqref="B3"/>
    </sheetView>
  </sheetViews>
  <sheetFormatPr defaultRowHeight="15" x14ac:dyDescent="0.25"/>
  <cols>
    <col min="1" max="1" width="13.140625" bestFit="1" customWidth="1"/>
    <col min="2" max="2" width="18.5703125" bestFit="1" customWidth="1"/>
  </cols>
  <sheetData>
    <row r="3" spans="1:2" x14ac:dyDescent="0.25">
      <c r="A3" s="11" t="s">
        <v>174</v>
      </c>
      <c r="B3" t="s">
        <v>181</v>
      </c>
    </row>
    <row r="4" spans="1:2" x14ac:dyDescent="0.25">
      <c r="A4" s="12" t="s">
        <v>24</v>
      </c>
      <c r="B4" s="13">
        <v>30</v>
      </c>
    </row>
    <row r="5" spans="1:2" x14ac:dyDescent="0.25">
      <c r="A5" s="12" t="s">
        <v>17</v>
      </c>
      <c r="B5" s="13">
        <v>15</v>
      </c>
    </row>
    <row r="6" spans="1:2" x14ac:dyDescent="0.25">
      <c r="A6" s="12" t="s">
        <v>8</v>
      </c>
      <c r="B6" s="13">
        <v>89</v>
      </c>
    </row>
    <row r="7" spans="1:2" x14ac:dyDescent="0.25">
      <c r="A7" s="12" t="s">
        <v>34</v>
      </c>
      <c r="B7" s="13">
        <v>15</v>
      </c>
    </row>
    <row r="8" spans="1:2" x14ac:dyDescent="0.25">
      <c r="A8" s="12" t="s">
        <v>176</v>
      </c>
      <c r="B8" s="13">
        <v>149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8"/>
  <sheetViews>
    <sheetView workbookViewId="0">
      <selection activeCell="C29" sqref="C29"/>
    </sheetView>
  </sheetViews>
  <sheetFormatPr defaultRowHeight="15" x14ac:dyDescent="0.25"/>
  <cols>
    <col min="1" max="1" width="13.140625" bestFit="1" customWidth="1"/>
    <col min="2" max="2" width="8.85546875" customWidth="1"/>
    <col min="3" max="3" width="9.140625" customWidth="1"/>
  </cols>
  <sheetData>
    <row r="3" spans="1:3" x14ac:dyDescent="0.25">
      <c r="A3" s="11" t="s">
        <v>174</v>
      </c>
      <c r="B3" t="s">
        <v>182</v>
      </c>
      <c r="C3" t="s">
        <v>183</v>
      </c>
    </row>
    <row r="4" spans="1:3" x14ac:dyDescent="0.25">
      <c r="A4" s="12" t="s">
        <v>24</v>
      </c>
      <c r="B4" s="13">
        <v>3</v>
      </c>
      <c r="C4" s="13">
        <v>48</v>
      </c>
    </row>
    <row r="5" spans="1:3" x14ac:dyDescent="0.25">
      <c r="A5" s="12" t="s">
        <v>17</v>
      </c>
      <c r="B5" s="13">
        <v>3</v>
      </c>
      <c r="C5" s="13">
        <v>52</v>
      </c>
    </row>
    <row r="6" spans="1:3" x14ac:dyDescent="0.25">
      <c r="A6" s="12" t="s">
        <v>8</v>
      </c>
      <c r="B6" s="13">
        <v>2</v>
      </c>
      <c r="C6" s="13">
        <v>52</v>
      </c>
    </row>
    <row r="7" spans="1:3" x14ac:dyDescent="0.25">
      <c r="A7" s="12" t="s">
        <v>34</v>
      </c>
      <c r="B7" s="13">
        <v>3</v>
      </c>
      <c r="C7" s="13">
        <v>43</v>
      </c>
    </row>
    <row r="8" spans="1:3" x14ac:dyDescent="0.25">
      <c r="A8" s="12" t="s">
        <v>176</v>
      </c>
      <c r="B8" s="13">
        <v>2</v>
      </c>
      <c r="C8" s="13">
        <v>52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7"/>
  <sheetViews>
    <sheetView workbookViewId="0">
      <selection activeCell="F13" sqref="F13"/>
    </sheetView>
  </sheetViews>
  <sheetFormatPr defaultRowHeight="15" x14ac:dyDescent="0.25"/>
  <cols>
    <col min="1" max="1" width="18.5703125" bestFit="1" customWidth="1"/>
    <col min="2" max="2" width="16.28515625" bestFit="1" customWidth="1"/>
    <col min="3" max="3" width="8.7109375" customWidth="1"/>
    <col min="4" max="4" width="11.28515625" customWidth="1"/>
    <col min="5" max="5" width="11.28515625" bestFit="1" customWidth="1"/>
  </cols>
  <sheetData>
    <row r="3" spans="1:4" x14ac:dyDescent="0.25">
      <c r="A3" s="11" t="s">
        <v>181</v>
      </c>
      <c r="B3" s="11" t="s">
        <v>186</v>
      </c>
    </row>
    <row r="4" spans="1:4" x14ac:dyDescent="0.25">
      <c r="A4" s="11" t="s">
        <v>174</v>
      </c>
      <c r="B4" t="s">
        <v>184</v>
      </c>
      <c r="C4" t="s">
        <v>185</v>
      </c>
      <c r="D4" t="s">
        <v>176</v>
      </c>
    </row>
    <row r="5" spans="1:4" x14ac:dyDescent="0.25">
      <c r="A5" s="12" t="s">
        <v>14</v>
      </c>
      <c r="B5" s="13">
        <v>23</v>
      </c>
      <c r="C5" s="13">
        <v>52</v>
      </c>
      <c r="D5" s="13">
        <v>75</v>
      </c>
    </row>
    <row r="6" spans="1:4" x14ac:dyDescent="0.25">
      <c r="A6" s="12" t="s">
        <v>9</v>
      </c>
      <c r="B6" s="13">
        <v>15</v>
      </c>
      <c r="C6" s="13">
        <v>59</v>
      </c>
      <c r="D6" s="13">
        <v>74</v>
      </c>
    </row>
    <row r="7" spans="1:4" x14ac:dyDescent="0.25">
      <c r="A7" s="12" t="s">
        <v>176</v>
      </c>
      <c r="B7" s="13">
        <v>38</v>
      </c>
      <c r="C7" s="13">
        <v>111</v>
      </c>
      <c r="D7" s="13">
        <v>149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3"/>
  <sheetViews>
    <sheetView tabSelected="1" workbookViewId="0">
      <selection activeCell="E6" sqref="E6"/>
    </sheetView>
  </sheetViews>
  <sheetFormatPr defaultRowHeight="15" x14ac:dyDescent="0.25"/>
  <cols>
    <col min="1" max="1" width="20.7109375" bestFit="1" customWidth="1"/>
    <col min="2" max="2" width="27.5703125" bestFit="1" customWidth="1"/>
  </cols>
  <sheetData>
    <row r="3" spans="1:2" x14ac:dyDescent="0.25">
      <c r="A3" s="11" t="s">
        <v>174</v>
      </c>
      <c r="B3" t="s">
        <v>187</v>
      </c>
    </row>
    <row r="4" spans="1:2" x14ac:dyDescent="0.25">
      <c r="A4" s="12" t="s">
        <v>18</v>
      </c>
      <c r="B4" s="13">
        <v>25.6</v>
      </c>
    </row>
    <row r="5" spans="1:2" x14ac:dyDescent="0.25">
      <c r="A5" s="12" t="s">
        <v>21</v>
      </c>
      <c r="B5" s="13">
        <v>23.133333333333333</v>
      </c>
    </row>
    <row r="6" spans="1:2" x14ac:dyDescent="0.25">
      <c r="A6" s="12" t="s">
        <v>25</v>
      </c>
      <c r="B6" s="13">
        <v>21.033333333333335</v>
      </c>
    </row>
    <row r="7" spans="1:2" x14ac:dyDescent="0.25">
      <c r="A7" s="12" t="s">
        <v>28</v>
      </c>
      <c r="B7" s="13">
        <v>20.399999999999999</v>
      </c>
    </row>
    <row r="8" spans="1:2" x14ac:dyDescent="0.25">
      <c r="A8" s="12" t="s">
        <v>10</v>
      </c>
      <c r="B8" s="13">
        <v>19.600000000000001</v>
      </c>
    </row>
    <row r="9" spans="1:2" x14ac:dyDescent="0.25">
      <c r="A9" s="12" t="s">
        <v>35</v>
      </c>
      <c r="B9" s="13">
        <v>19.133333333333333</v>
      </c>
    </row>
    <row r="10" spans="1:2" x14ac:dyDescent="0.25">
      <c r="A10" s="12" t="s">
        <v>37</v>
      </c>
      <c r="B10" s="13">
        <v>18.333333333333332</v>
      </c>
    </row>
    <row r="11" spans="1:2" x14ac:dyDescent="0.25">
      <c r="A11" s="12" t="s">
        <v>40</v>
      </c>
      <c r="B11" s="13">
        <v>17.785714285714285</v>
      </c>
    </row>
    <row r="12" spans="1:2" x14ac:dyDescent="0.25">
      <c r="A12" s="12" t="s">
        <v>15</v>
      </c>
      <c r="B12" s="13">
        <v>17.533333333333335</v>
      </c>
    </row>
    <row r="13" spans="1:2" x14ac:dyDescent="0.25">
      <c r="A13" s="12" t="s">
        <v>176</v>
      </c>
      <c r="B13" s="13">
        <v>20.375838926174495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0"/>
  <sheetViews>
    <sheetView topLeftCell="A61" workbookViewId="0">
      <selection activeCell="M71" sqref="A1:XFD1048576"/>
    </sheetView>
  </sheetViews>
  <sheetFormatPr defaultRowHeight="15" x14ac:dyDescent="0.25"/>
  <cols>
    <col min="1" max="1" width="12.42578125" customWidth="1"/>
    <col min="2" max="2" width="29.140625" customWidth="1"/>
    <col min="3" max="3" width="13.85546875" customWidth="1"/>
    <col min="4" max="4" width="10.42578125" customWidth="1"/>
    <col min="5" max="5" width="21.28515625" customWidth="1"/>
    <col min="6" max="6" width="19.140625" customWidth="1"/>
    <col min="7" max="7" width="13" customWidth="1"/>
    <col min="9" max="9" width="17.42578125" customWidth="1"/>
    <col min="10" max="10" width="21.7109375" customWidth="1"/>
    <col min="11" max="11" width="13.5703125" customWidth="1"/>
    <col min="13" max="13" width="11" customWidth="1"/>
    <col min="19" max="19" width="1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168</v>
      </c>
      <c r="H1" t="s">
        <v>169</v>
      </c>
      <c r="I1" t="s">
        <v>179</v>
      </c>
      <c r="J1" t="s">
        <v>180</v>
      </c>
    </row>
    <row r="2" spans="1:10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36</v>
      </c>
      <c r="G2">
        <f>VLOOKUP(C2,Master_Targets!$A$2:$B$5,2,0)</f>
        <v>48</v>
      </c>
      <c r="H2" t="str">
        <f>IF(F2&gt;G2,"Delayed","On-Time")</f>
        <v>On-Time</v>
      </c>
      <c r="I2" t="str">
        <f>IF(COUNTIF($A$2:$A$150,A2)&gt;1,"Duplicate","Unique")</f>
        <v>Unique</v>
      </c>
      <c r="J2" t="str">
        <f>IF(OR(F2&lt;=0,F2&gt;100),"Error:Check  Data","Valid")</f>
        <v>Valid</v>
      </c>
    </row>
    <row r="3" spans="1:10" x14ac:dyDescent="0.25">
      <c r="A3" t="s">
        <v>12</v>
      </c>
      <c r="B3" t="s">
        <v>13</v>
      </c>
      <c r="C3" t="s">
        <v>8</v>
      </c>
      <c r="D3" t="s">
        <v>14</v>
      </c>
      <c r="E3" t="s">
        <v>15</v>
      </c>
      <c r="F3">
        <v>48</v>
      </c>
      <c r="G3">
        <f>VLOOKUP(C3,Master_Targets!$A$2:$B$5,2,0)</f>
        <v>48</v>
      </c>
      <c r="H3" t="str">
        <f>IF(F3&gt;G3,"Delayed","On-Time")</f>
        <v>On-Time</v>
      </c>
      <c r="I3" t="str">
        <f>IF(COUNTIF($A$2:$A$150,A3)&gt;1,"Duplicate","Unique")</f>
        <v>Unique</v>
      </c>
      <c r="J3" t="str">
        <f>IF(OR(F2&lt;=0,F3&gt;100),"Error:Check Data","Valid")</f>
        <v>Valid</v>
      </c>
    </row>
    <row r="4" spans="1:10" x14ac:dyDescent="0.25">
      <c r="A4" t="s">
        <v>11</v>
      </c>
      <c r="B4" t="s">
        <v>16</v>
      </c>
      <c r="C4" t="s">
        <v>17</v>
      </c>
      <c r="D4" t="s">
        <v>14</v>
      </c>
      <c r="E4" t="s">
        <v>18</v>
      </c>
      <c r="F4">
        <v>4</v>
      </c>
      <c r="G4">
        <f>VLOOKUP(C4,Master_Targets!$A$2:$B$5,2,0)</f>
        <v>4</v>
      </c>
      <c r="H4" t="str">
        <f>IF(F4&gt;G4,"Delayed","On-Time")</f>
        <v>On-Time</v>
      </c>
      <c r="I4" t="str">
        <f t="shared" ref="I4:I67" si="0">IF(COUNTIF($A$2:$A$150,A4)&gt;1,"Duplicate","Unique")</f>
        <v>Unique</v>
      </c>
      <c r="J4" t="str">
        <f>IF(OR(F4&lt;=0,F4&gt;100),"Error:Check Data","Valid")</f>
        <v>Valid</v>
      </c>
    </row>
    <row r="5" spans="1:10" x14ac:dyDescent="0.25">
      <c r="A5" t="s">
        <v>19</v>
      </c>
      <c r="B5" t="s">
        <v>20</v>
      </c>
      <c r="C5" t="s">
        <v>8</v>
      </c>
      <c r="D5" t="s">
        <v>14</v>
      </c>
      <c r="E5" t="s">
        <v>21</v>
      </c>
      <c r="F5">
        <v>24</v>
      </c>
      <c r="G5">
        <f>VLOOKUP(C5,Master_Targets!$A$2:$B$5,2,0)</f>
        <v>48</v>
      </c>
      <c r="H5" t="str">
        <f t="shared" ref="H5:H68" si="1">IF(F5&gt;G5,"Delayed","On-Time")</f>
        <v>On-Time</v>
      </c>
      <c r="I5" t="str">
        <f t="shared" si="0"/>
        <v>Unique</v>
      </c>
      <c r="J5" t="str">
        <f t="shared" ref="J5:J36" si="2">IF(OR(F5&lt;=0,F5&gt;100),"Error:Check  Data","Valid")</f>
        <v>Valid</v>
      </c>
    </row>
    <row r="6" spans="1:10" x14ac:dyDescent="0.25">
      <c r="A6" t="s">
        <v>22</v>
      </c>
      <c r="B6" t="s">
        <v>23</v>
      </c>
      <c r="C6" t="s">
        <v>24</v>
      </c>
      <c r="D6" t="s">
        <v>14</v>
      </c>
      <c r="E6" t="s">
        <v>25</v>
      </c>
      <c r="F6">
        <v>5</v>
      </c>
      <c r="G6">
        <f>VLOOKUP(C6,Master_Targets!$A$2:$B$5,2,0)</f>
        <v>6</v>
      </c>
      <c r="H6" t="str">
        <f t="shared" si="1"/>
        <v>On-Time</v>
      </c>
      <c r="I6" t="str">
        <f t="shared" si="0"/>
        <v>Unique</v>
      </c>
      <c r="J6" t="str">
        <f t="shared" ref="J6:J37" si="3">IF(OR(F5&lt;=0,F6&gt;100),"Error:Check Data","Valid")</f>
        <v>Valid</v>
      </c>
    </row>
    <row r="7" spans="1:10" x14ac:dyDescent="0.25">
      <c r="A7" t="s">
        <v>26</v>
      </c>
      <c r="B7" t="s">
        <v>27</v>
      </c>
      <c r="C7" t="s">
        <v>8</v>
      </c>
      <c r="D7" t="s">
        <v>9</v>
      </c>
      <c r="E7" t="s">
        <v>28</v>
      </c>
      <c r="F7">
        <v>8</v>
      </c>
      <c r="G7">
        <f>VLOOKUP(C7,Master_Targets!$A$2:$B$5,2,0)</f>
        <v>48</v>
      </c>
      <c r="H7" t="str">
        <f t="shared" si="1"/>
        <v>On-Time</v>
      </c>
      <c r="I7" t="str">
        <f t="shared" si="0"/>
        <v>Unique</v>
      </c>
      <c r="J7" t="str">
        <f t="shared" ref="J7:J38" si="4">IF(OR(F7&lt;=0,F7&gt;100),"Error:Check Data","Valid")</f>
        <v>Valid</v>
      </c>
    </row>
    <row r="8" spans="1:10" x14ac:dyDescent="0.25">
      <c r="A8" t="s">
        <v>29</v>
      </c>
      <c r="B8" t="s">
        <v>33</v>
      </c>
      <c r="C8" t="s">
        <v>34</v>
      </c>
      <c r="D8" t="s">
        <v>9</v>
      </c>
      <c r="E8" t="s">
        <v>35</v>
      </c>
      <c r="F8">
        <v>12</v>
      </c>
      <c r="G8">
        <f>VLOOKUP(C8,Master_Targets!$A$2:$B$5,2,0)</f>
        <v>12</v>
      </c>
      <c r="H8" t="str">
        <f t="shared" si="1"/>
        <v>On-Time</v>
      </c>
      <c r="I8" t="str">
        <f t="shared" si="0"/>
        <v>Unique</v>
      </c>
      <c r="J8" t="str">
        <f t="shared" ref="J8:J39" si="5">IF(OR(F8&lt;=0,F8&gt;100),"Error:Check  Data","Valid")</f>
        <v>Valid</v>
      </c>
    </row>
    <row r="9" spans="1:10" x14ac:dyDescent="0.25">
      <c r="A9" t="s">
        <v>30</v>
      </c>
      <c r="B9" t="s">
        <v>36</v>
      </c>
      <c r="C9" t="s">
        <v>8</v>
      </c>
      <c r="D9" t="s">
        <v>14</v>
      </c>
      <c r="E9" t="s">
        <v>37</v>
      </c>
      <c r="F9">
        <v>52</v>
      </c>
      <c r="G9">
        <f>VLOOKUP(C9,Master_Targets!$A$2:$B$5,2,0)</f>
        <v>48</v>
      </c>
      <c r="H9" t="str">
        <f t="shared" si="1"/>
        <v>Delayed</v>
      </c>
      <c r="I9" t="str">
        <f t="shared" si="0"/>
        <v>Unique</v>
      </c>
      <c r="J9" t="str">
        <f t="shared" ref="J9:J40" si="6">IF(OR(F8&lt;=0,F9&gt;100),"Error:Check Data","Valid")</f>
        <v>Valid</v>
      </c>
    </row>
    <row r="10" spans="1:10" x14ac:dyDescent="0.25">
      <c r="A10" t="s">
        <v>31</v>
      </c>
      <c r="B10" t="s">
        <v>38</v>
      </c>
      <c r="C10" t="s">
        <v>24</v>
      </c>
      <c r="D10" t="s">
        <v>9</v>
      </c>
      <c r="E10" t="s">
        <v>25</v>
      </c>
      <c r="F10">
        <v>3</v>
      </c>
      <c r="G10">
        <f>VLOOKUP(C10,Master_Targets!$A$2:$B$5,2,0)</f>
        <v>6</v>
      </c>
      <c r="H10" t="str">
        <f t="shared" si="1"/>
        <v>On-Time</v>
      </c>
      <c r="I10" t="str">
        <f t="shared" si="0"/>
        <v>Unique</v>
      </c>
      <c r="J10" t="str">
        <f t="shared" ref="J10:J41" si="7">IF(OR(F10&lt;=0,F10&gt;100),"Error:Check Data","Valid")</f>
        <v>Valid</v>
      </c>
    </row>
    <row r="11" spans="1:10" x14ac:dyDescent="0.25">
      <c r="A11" t="s">
        <v>32</v>
      </c>
      <c r="B11" t="s">
        <v>39</v>
      </c>
      <c r="C11" t="s">
        <v>8</v>
      </c>
      <c r="D11" t="s">
        <v>9</v>
      </c>
      <c r="E11" t="s">
        <v>40</v>
      </c>
      <c r="F11">
        <v>2</v>
      </c>
      <c r="G11">
        <f>VLOOKUP(C11,Master_Targets!$A$2:$B$5,2,0)</f>
        <v>48</v>
      </c>
      <c r="H11" t="str">
        <f t="shared" si="1"/>
        <v>On-Time</v>
      </c>
      <c r="I11" t="str">
        <f t="shared" si="0"/>
        <v>Unique</v>
      </c>
      <c r="J11" t="str">
        <f t="shared" ref="J11:J42" si="8">IF(OR(F11&lt;=0,F11&gt;100),"Error:Check  Data","Valid")</f>
        <v>Valid</v>
      </c>
    </row>
    <row r="12" spans="1:10" x14ac:dyDescent="0.25">
      <c r="A12" t="s">
        <v>0</v>
      </c>
      <c r="B12" t="s">
        <v>7</v>
      </c>
      <c r="C12" t="s">
        <v>8</v>
      </c>
      <c r="D12" t="s">
        <v>9</v>
      </c>
      <c r="E12" t="s">
        <v>10</v>
      </c>
      <c r="F12" s="1">
        <v>36</v>
      </c>
      <c r="G12">
        <f>VLOOKUP(C12,Master_Targets!$A$2:$B$5,2,0)</f>
        <v>48</v>
      </c>
      <c r="H12" t="str">
        <f t="shared" si="1"/>
        <v>On-Time</v>
      </c>
      <c r="I12" t="str">
        <f t="shared" si="0"/>
        <v>Duplicate</v>
      </c>
      <c r="J12" t="str">
        <f t="shared" ref="J12:J43" si="9">IF(OR(F11&lt;=0,F12&gt;100),"Error:Check Data","Valid")</f>
        <v>Valid</v>
      </c>
    </row>
    <row r="13" spans="1:10" x14ac:dyDescent="0.25">
      <c r="A13" t="s">
        <v>41</v>
      </c>
      <c r="B13" t="s">
        <v>13</v>
      </c>
      <c r="C13" t="s">
        <v>8</v>
      </c>
      <c r="D13" t="s">
        <v>14</v>
      </c>
      <c r="E13" t="s">
        <v>15</v>
      </c>
      <c r="F13" s="1">
        <v>6</v>
      </c>
      <c r="G13">
        <f>VLOOKUP(C13,Master_Targets!$A$2:$B$5,2,0)</f>
        <v>48</v>
      </c>
      <c r="H13" t="str">
        <f t="shared" si="1"/>
        <v>On-Time</v>
      </c>
      <c r="I13" t="str">
        <f t="shared" si="0"/>
        <v>Unique</v>
      </c>
      <c r="J13" t="str">
        <f t="shared" ref="J13:J44" si="10">IF(OR(F13&lt;=0,F13&gt;100),"Error:Check Data","Valid")</f>
        <v>Valid</v>
      </c>
    </row>
    <row r="14" spans="1:10" x14ac:dyDescent="0.25">
      <c r="A14" t="s">
        <v>42</v>
      </c>
      <c r="B14" t="s">
        <v>16</v>
      </c>
      <c r="C14" t="s">
        <v>17</v>
      </c>
      <c r="D14" t="s">
        <v>14</v>
      </c>
      <c r="E14" t="s">
        <v>18</v>
      </c>
      <c r="F14" s="1">
        <v>48</v>
      </c>
      <c r="G14">
        <f>VLOOKUP(C14,Master_Targets!$A$2:$B$5,2,0)</f>
        <v>4</v>
      </c>
      <c r="H14" t="str">
        <f t="shared" si="1"/>
        <v>Delayed</v>
      </c>
      <c r="I14" t="str">
        <f t="shared" si="0"/>
        <v>Unique</v>
      </c>
      <c r="J14" t="str">
        <f t="shared" ref="J14:J45" si="11">IF(OR(F14&lt;=0,F14&gt;100),"Error:Check  Data","Valid")</f>
        <v>Valid</v>
      </c>
    </row>
    <row r="15" spans="1:10" x14ac:dyDescent="0.25">
      <c r="A15" t="s">
        <v>43</v>
      </c>
      <c r="B15" t="s">
        <v>20</v>
      </c>
      <c r="C15" t="s">
        <v>8</v>
      </c>
      <c r="D15" t="s">
        <v>14</v>
      </c>
      <c r="E15" t="s">
        <v>21</v>
      </c>
      <c r="F15" s="1">
        <v>52</v>
      </c>
      <c r="G15">
        <f>VLOOKUP(C15,Master_Targets!$A$2:$B$5,2,0)</f>
        <v>48</v>
      </c>
      <c r="H15" t="str">
        <f t="shared" si="1"/>
        <v>Delayed</v>
      </c>
      <c r="I15" t="str">
        <f t="shared" si="0"/>
        <v>Unique</v>
      </c>
      <c r="J15" t="str">
        <f t="shared" ref="J15:J46" si="12">IF(OR(F14&lt;=0,F15&gt;100),"Error:Check Data","Valid")</f>
        <v>Valid</v>
      </c>
    </row>
    <row r="16" spans="1:10" x14ac:dyDescent="0.25">
      <c r="A16" t="s">
        <v>44</v>
      </c>
      <c r="B16" t="s">
        <v>23</v>
      </c>
      <c r="C16" t="s">
        <v>24</v>
      </c>
      <c r="D16" t="s">
        <v>14</v>
      </c>
      <c r="E16" t="s">
        <v>25</v>
      </c>
      <c r="F16" s="1">
        <v>9</v>
      </c>
      <c r="G16">
        <f>VLOOKUP(C16,Master_Targets!$A$2:$B$5,2,0)</f>
        <v>6</v>
      </c>
      <c r="H16" t="str">
        <f t="shared" si="1"/>
        <v>Delayed</v>
      </c>
      <c r="I16" t="str">
        <f t="shared" si="0"/>
        <v>Unique</v>
      </c>
      <c r="J16" t="str">
        <f t="shared" ref="J16:J47" si="13">IF(OR(F16&lt;=0,F16&gt;100),"Error:Check Data","Valid")</f>
        <v>Valid</v>
      </c>
    </row>
    <row r="17" spans="1:14" x14ac:dyDescent="0.25">
      <c r="A17" t="s">
        <v>45</v>
      </c>
      <c r="B17" t="s">
        <v>27</v>
      </c>
      <c r="C17" t="s">
        <v>8</v>
      </c>
      <c r="D17" t="s">
        <v>9</v>
      </c>
      <c r="E17" t="s">
        <v>28</v>
      </c>
      <c r="F17" s="1">
        <v>5</v>
      </c>
      <c r="G17">
        <f>VLOOKUP(C17,Master_Targets!$A$2:$B$5,2,0)</f>
        <v>48</v>
      </c>
      <c r="H17" t="str">
        <f t="shared" si="1"/>
        <v>On-Time</v>
      </c>
      <c r="I17" t="str">
        <f t="shared" si="0"/>
        <v>Unique</v>
      </c>
      <c r="J17" t="str">
        <f t="shared" ref="J17:J48" si="14">IF(OR(F17&lt;=0,F17&gt;100),"Error:Check  Data","Valid")</f>
        <v>Valid</v>
      </c>
    </row>
    <row r="18" spans="1:14" x14ac:dyDescent="0.25">
      <c r="A18" t="s">
        <v>46</v>
      </c>
      <c r="B18" t="s">
        <v>33</v>
      </c>
      <c r="C18" t="s">
        <v>34</v>
      </c>
      <c r="D18" t="s">
        <v>9</v>
      </c>
      <c r="E18" t="s">
        <v>35</v>
      </c>
      <c r="F18" s="1">
        <v>6</v>
      </c>
      <c r="G18">
        <f>VLOOKUP(C18,Master_Targets!$A$2:$B$5,2,0)</f>
        <v>12</v>
      </c>
      <c r="H18" t="str">
        <f t="shared" si="1"/>
        <v>On-Time</v>
      </c>
      <c r="I18" t="str">
        <f t="shared" si="0"/>
        <v>Unique</v>
      </c>
      <c r="J18" t="str">
        <f t="shared" ref="J18:J49" si="15">IF(OR(F17&lt;=0,F18&gt;100),"Error:Check Data","Valid")</f>
        <v>Valid</v>
      </c>
    </row>
    <row r="19" spans="1:14" x14ac:dyDescent="0.25">
      <c r="A19" t="s">
        <v>47</v>
      </c>
      <c r="B19" t="s">
        <v>36</v>
      </c>
      <c r="C19" t="s">
        <v>8</v>
      </c>
      <c r="D19" t="s">
        <v>14</v>
      </c>
      <c r="E19" t="s">
        <v>37</v>
      </c>
      <c r="F19" s="1">
        <v>8</v>
      </c>
      <c r="G19">
        <f>VLOOKUP(C19,Master_Targets!$A$2:$B$5,2,0)</f>
        <v>48</v>
      </c>
      <c r="H19" t="str">
        <f t="shared" si="1"/>
        <v>On-Time</v>
      </c>
      <c r="I19" t="str">
        <f t="shared" si="0"/>
        <v>Unique</v>
      </c>
      <c r="J19" t="str">
        <f t="shared" ref="J19:J50" si="16">IF(OR(F19&lt;=0,F19&gt;100),"Error:Check Data","Valid")</f>
        <v>Valid</v>
      </c>
    </row>
    <row r="20" spans="1:14" x14ac:dyDescent="0.25">
      <c r="A20" t="s">
        <v>48</v>
      </c>
      <c r="B20" t="s">
        <v>38</v>
      </c>
      <c r="C20" t="s">
        <v>24</v>
      </c>
      <c r="D20" t="s">
        <v>9</v>
      </c>
      <c r="E20" t="s">
        <v>25</v>
      </c>
      <c r="F20" s="1">
        <v>47</v>
      </c>
      <c r="G20">
        <f>VLOOKUP(C20,Master_Targets!$A$2:$B$5,2,0)</f>
        <v>6</v>
      </c>
      <c r="H20" t="str">
        <f t="shared" si="1"/>
        <v>Delayed</v>
      </c>
      <c r="I20" t="str">
        <f t="shared" si="0"/>
        <v>Unique</v>
      </c>
      <c r="J20" t="str">
        <f t="shared" ref="J20:J51" si="17">IF(OR(F20&lt;=0,F20&gt;100),"Error:Check  Data","Valid")</f>
        <v>Valid</v>
      </c>
      <c r="L20" s="2"/>
      <c r="M20" s="3"/>
      <c r="N20" s="4"/>
    </row>
    <row r="21" spans="1:14" x14ac:dyDescent="0.25">
      <c r="A21" t="s">
        <v>49</v>
      </c>
      <c r="B21" t="s">
        <v>39</v>
      </c>
      <c r="C21" t="s">
        <v>8</v>
      </c>
      <c r="D21" t="s">
        <v>9</v>
      </c>
      <c r="E21" t="s">
        <v>40</v>
      </c>
      <c r="F21" s="1">
        <v>23</v>
      </c>
      <c r="G21">
        <f>VLOOKUP(C21,Master_Targets!$A$2:$B$5,2,0)</f>
        <v>48</v>
      </c>
      <c r="H21" t="str">
        <f t="shared" si="1"/>
        <v>On-Time</v>
      </c>
      <c r="I21" t="str">
        <f t="shared" si="0"/>
        <v>Unique</v>
      </c>
      <c r="J21" t="str">
        <f t="shared" ref="J21:J52" si="18">IF(OR(F20&lt;=0,F21&gt;100),"Error:Check Data","Valid")</f>
        <v>Valid</v>
      </c>
      <c r="L21" s="5"/>
      <c r="M21" s="6"/>
      <c r="N21" s="7"/>
    </row>
    <row r="22" spans="1:14" x14ac:dyDescent="0.25">
      <c r="A22" t="s">
        <v>50</v>
      </c>
      <c r="B22" t="s">
        <v>7</v>
      </c>
      <c r="C22" t="s">
        <v>8</v>
      </c>
      <c r="D22" t="s">
        <v>9</v>
      </c>
      <c r="E22" t="s">
        <v>10</v>
      </c>
      <c r="F22" s="1">
        <v>24</v>
      </c>
      <c r="G22">
        <f>VLOOKUP(C22,Master_Targets!$A$2:$B$5,2,0)</f>
        <v>48</v>
      </c>
      <c r="H22" t="str">
        <f t="shared" si="1"/>
        <v>On-Time</v>
      </c>
      <c r="I22" t="str">
        <f t="shared" si="0"/>
        <v>Unique</v>
      </c>
      <c r="J22" t="str">
        <f t="shared" ref="J22:J53" si="19">IF(OR(F22&lt;=0,F22&gt;100),"Error:Check Data","Valid")</f>
        <v>Valid</v>
      </c>
      <c r="L22" s="5"/>
      <c r="M22" s="6"/>
      <c r="N22" s="7"/>
    </row>
    <row r="23" spans="1:14" x14ac:dyDescent="0.25">
      <c r="A23" t="s">
        <v>0</v>
      </c>
      <c r="B23" t="s">
        <v>13</v>
      </c>
      <c r="C23" t="s">
        <v>8</v>
      </c>
      <c r="D23" t="s">
        <v>14</v>
      </c>
      <c r="E23" t="s">
        <v>15</v>
      </c>
      <c r="F23" s="1">
        <v>12</v>
      </c>
      <c r="G23">
        <f>VLOOKUP(C23,Master_Targets!$A$2:$B$5,2,0)</f>
        <v>48</v>
      </c>
      <c r="H23" t="str">
        <f t="shared" si="1"/>
        <v>On-Time</v>
      </c>
      <c r="I23" t="str">
        <f t="shared" si="0"/>
        <v>Duplicate</v>
      </c>
      <c r="J23" t="str">
        <f t="shared" ref="J23:J54" si="20">IF(OR(F23&lt;=0,F23&gt;100),"Error:Check  Data","Valid")</f>
        <v>Valid</v>
      </c>
      <c r="L23" s="5"/>
      <c r="M23" s="6"/>
      <c r="N23" s="7"/>
    </row>
    <row r="24" spans="1:14" x14ac:dyDescent="0.25">
      <c r="A24" t="s">
        <v>51</v>
      </c>
      <c r="B24" t="s">
        <v>16</v>
      </c>
      <c r="C24" t="s">
        <v>17</v>
      </c>
      <c r="D24" t="s">
        <v>14</v>
      </c>
      <c r="E24" t="s">
        <v>18</v>
      </c>
      <c r="F24" s="1">
        <v>52</v>
      </c>
      <c r="G24">
        <f>VLOOKUP(C24,Master_Targets!$A$2:$B$5,2,0)</f>
        <v>4</v>
      </c>
      <c r="H24" t="str">
        <f t="shared" si="1"/>
        <v>Delayed</v>
      </c>
      <c r="I24" t="str">
        <f t="shared" si="0"/>
        <v>Unique</v>
      </c>
      <c r="J24" t="str">
        <f t="shared" ref="J24:J55" si="21">IF(OR(F23&lt;=0,F24&gt;100),"Error:Check Data","Valid")</f>
        <v>Valid</v>
      </c>
      <c r="L24" s="5"/>
      <c r="M24" s="6"/>
      <c r="N24" s="7"/>
    </row>
    <row r="25" spans="1:14" x14ac:dyDescent="0.25">
      <c r="A25" t="s">
        <v>52</v>
      </c>
      <c r="B25" t="s">
        <v>20</v>
      </c>
      <c r="C25" t="s">
        <v>8</v>
      </c>
      <c r="D25" t="s">
        <v>14</v>
      </c>
      <c r="E25" t="s">
        <v>21</v>
      </c>
      <c r="F25" s="1">
        <v>7</v>
      </c>
      <c r="G25">
        <f>VLOOKUP(C25,Master_Targets!$A$2:$B$5,2,0)</f>
        <v>48</v>
      </c>
      <c r="H25" t="str">
        <f t="shared" si="1"/>
        <v>On-Time</v>
      </c>
      <c r="I25" t="str">
        <f t="shared" si="0"/>
        <v>Unique</v>
      </c>
      <c r="J25" t="str">
        <f t="shared" ref="J25:J56" si="22">IF(OR(F25&lt;=0,F25&gt;100),"Error:Check Data","Valid")</f>
        <v>Valid</v>
      </c>
      <c r="L25" s="5"/>
      <c r="M25" s="6"/>
      <c r="N25" s="7"/>
    </row>
    <row r="26" spans="1:14" x14ac:dyDescent="0.25">
      <c r="A26" t="s">
        <v>53</v>
      </c>
      <c r="B26" t="s">
        <v>23</v>
      </c>
      <c r="C26" t="s">
        <v>24</v>
      </c>
      <c r="D26" t="s">
        <v>14</v>
      </c>
      <c r="E26" t="s">
        <v>25</v>
      </c>
      <c r="F26" s="1">
        <v>3</v>
      </c>
      <c r="G26">
        <f>VLOOKUP(C26,Master_Targets!$A$2:$B$5,2,0)</f>
        <v>6</v>
      </c>
      <c r="H26" t="str">
        <f t="shared" si="1"/>
        <v>On-Time</v>
      </c>
      <c r="I26" t="str">
        <f t="shared" si="0"/>
        <v>Unique</v>
      </c>
      <c r="J26" t="str">
        <f t="shared" ref="J26:J57" si="23">IF(OR(F26&lt;=0,F26&gt;100),"Error:Check  Data","Valid")</f>
        <v>Valid</v>
      </c>
      <c r="L26" s="5"/>
      <c r="M26" s="6"/>
      <c r="N26" s="7"/>
    </row>
    <row r="27" spans="1:14" x14ac:dyDescent="0.25">
      <c r="A27" t="s">
        <v>54</v>
      </c>
      <c r="B27" t="s">
        <v>27</v>
      </c>
      <c r="C27" t="s">
        <v>8</v>
      </c>
      <c r="D27" t="s">
        <v>9</v>
      </c>
      <c r="E27" t="s">
        <v>28</v>
      </c>
      <c r="F27" s="1">
        <v>2</v>
      </c>
      <c r="G27">
        <f>VLOOKUP(C27,Master_Targets!$A$2:$B$5,2,0)</f>
        <v>48</v>
      </c>
      <c r="H27" t="str">
        <f t="shared" si="1"/>
        <v>On-Time</v>
      </c>
      <c r="I27" t="str">
        <f t="shared" si="0"/>
        <v>Unique</v>
      </c>
      <c r="J27" t="str">
        <f t="shared" ref="J27:J58" si="24">IF(OR(F26&lt;=0,F27&gt;100),"Error:Check Data","Valid")</f>
        <v>Valid</v>
      </c>
      <c r="L27" s="5"/>
      <c r="M27" s="6"/>
      <c r="N27" s="7"/>
    </row>
    <row r="28" spans="1:14" x14ac:dyDescent="0.25">
      <c r="A28" t="s">
        <v>55</v>
      </c>
      <c r="B28" t="s">
        <v>33</v>
      </c>
      <c r="C28" t="s">
        <v>34</v>
      </c>
      <c r="D28" t="s">
        <v>9</v>
      </c>
      <c r="E28" t="s">
        <v>35</v>
      </c>
      <c r="F28" s="1">
        <v>32</v>
      </c>
      <c r="G28">
        <f>VLOOKUP(C28,Master_Targets!$A$2:$B$5,2,0)</f>
        <v>12</v>
      </c>
      <c r="H28" t="str">
        <f t="shared" si="1"/>
        <v>Delayed</v>
      </c>
      <c r="I28" t="str">
        <f t="shared" si="0"/>
        <v>Unique</v>
      </c>
      <c r="J28" t="str">
        <f t="shared" ref="J28:J59" si="25">IF(OR(F28&lt;=0,F28&gt;100),"Error:Check Data","Valid")</f>
        <v>Valid</v>
      </c>
      <c r="L28" s="5"/>
      <c r="M28" s="6"/>
      <c r="N28" s="7"/>
    </row>
    <row r="29" spans="1:14" x14ac:dyDescent="0.25">
      <c r="A29" t="s">
        <v>56</v>
      </c>
      <c r="B29" t="s">
        <v>36</v>
      </c>
      <c r="C29" t="s">
        <v>8</v>
      </c>
      <c r="D29" t="s">
        <v>14</v>
      </c>
      <c r="E29" t="s">
        <v>37</v>
      </c>
      <c r="F29" s="1">
        <v>4</v>
      </c>
      <c r="G29">
        <f>VLOOKUP(C29,Master_Targets!$A$2:$B$5,2,0)</f>
        <v>48</v>
      </c>
      <c r="H29" t="str">
        <f t="shared" si="1"/>
        <v>On-Time</v>
      </c>
      <c r="I29" t="str">
        <f t="shared" si="0"/>
        <v>Unique</v>
      </c>
      <c r="J29" t="str">
        <f t="shared" ref="J29:J60" si="26">IF(OR(F29&lt;=0,F29&gt;100),"Error:Check  Data","Valid")</f>
        <v>Valid</v>
      </c>
      <c r="L29" s="5"/>
      <c r="M29" s="6"/>
      <c r="N29" s="7"/>
    </row>
    <row r="30" spans="1:14" x14ac:dyDescent="0.25">
      <c r="A30" t="s">
        <v>57</v>
      </c>
      <c r="B30" t="s">
        <v>38</v>
      </c>
      <c r="C30" t="s">
        <v>24</v>
      </c>
      <c r="D30" t="s">
        <v>9</v>
      </c>
      <c r="E30" t="s">
        <v>25</v>
      </c>
      <c r="F30" s="1">
        <v>5</v>
      </c>
      <c r="G30">
        <f>VLOOKUP(C30,Master_Targets!$A$2:$B$5,2,0)</f>
        <v>6</v>
      </c>
      <c r="H30" t="str">
        <f t="shared" si="1"/>
        <v>On-Time</v>
      </c>
      <c r="I30" t="str">
        <f t="shared" si="0"/>
        <v>Unique</v>
      </c>
      <c r="J30" t="str">
        <f t="shared" ref="J30:J61" si="27">IF(OR(F29&lt;=0,F30&gt;100),"Error:Check Data","Valid")</f>
        <v>Valid</v>
      </c>
      <c r="L30" s="5"/>
      <c r="M30" s="6"/>
      <c r="N30" s="7"/>
    </row>
    <row r="31" spans="1:14" x14ac:dyDescent="0.25">
      <c r="A31" t="s">
        <v>58</v>
      </c>
      <c r="B31" t="s">
        <v>39</v>
      </c>
      <c r="C31" t="s">
        <v>8</v>
      </c>
      <c r="D31" t="s">
        <v>9</v>
      </c>
      <c r="E31" t="s">
        <v>40</v>
      </c>
      <c r="F31" s="1">
        <v>6</v>
      </c>
      <c r="G31">
        <f>VLOOKUP(C31,Master_Targets!$A$2:$B$5,2,0)</f>
        <v>48</v>
      </c>
      <c r="H31" t="str">
        <f t="shared" si="1"/>
        <v>On-Time</v>
      </c>
      <c r="I31" t="str">
        <f t="shared" si="0"/>
        <v>Unique</v>
      </c>
      <c r="J31" t="str">
        <f t="shared" ref="J31:J62" si="28">IF(OR(F31&lt;=0,F31&gt;100),"Error:Check Data","Valid")</f>
        <v>Valid</v>
      </c>
      <c r="L31" s="5"/>
      <c r="M31" s="6"/>
      <c r="N31" s="7"/>
    </row>
    <row r="32" spans="1:14" x14ac:dyDescent="0.25">
      <c r="A32" t="s">
        <v>59</v>
      </c>
      <c r="B32" t="s">
        <v>7</v>
      </c>
      <c r="C32" t="s">
        <v>8</v>
      </c>
      <c r="D32" t="s">
        <v>9</v>
      </c>
      <c r="E32" t="s">
        <v>10</v>
      </c>
      <c r="F32" s="1">
        <v>7</v>
      </c>
      <c r="G32">
        <f>VLOOKUP(C32,Master_Targets!$A$2:$B$5,2,0)</f>
        <v>48</v>
      </c>
      <c r="H32" t="str">
        <f t="shared" si="1"/>
        <v>On-Time</v>
      </c>
      <c r="I32" t="str">
        <f t="shared" si="0"/>
        <v>Unique</v>
      </c>
      <c r="J32" t="str">
        <f t="shared" ref="J32:J63" si="29">IF(OR(F32&lt;=0,F32&gt;100),"Error:Check  Data","Valid")</f>
        <v>Valid</v>
      </c>
      <c r="L32" s="5"/>
      <c r="M32" s="6"/>
      <c r="N32" s="7"/>
    </row>
    <row r="33" spans="1:14" x14ac:dyDescent="0.25">
      <c r="A33" t="s">
        <v>60</v>
      </c>
      <c r="B33" t="s">
        <v>13</v>
      </c>
      <c r="C33" t="s">
        <v>8</v>
      </c>
      <c r="D33" t="s">
        <v>14</v>
      </c>
      <c r="E33" t="s">
        <v>15</v>
      </c>
      <c r="F33" s="1">
        <v>38</v>
      </c>
      <c r="G33">
        <f>VLOOKUP(C33,Master_Targets!$A$2:$B$5,2,0)</f>
        <v>48</v>
      </c>
      <c r="H33" t="str">
        <f t="shared" si="1"/>
        <v>On-Time</v>
      </c>
      <c r="I33" t="str">
        <f t="shared" si="0"/>
        <v>Unique</v>
      </c>
      <c r="J33" t="str">
        <f t="shared" ref="J33:J64" si="30">IF(OR(F32&lt;=0,F33&gt;100),"Error:Check Data","Valid")</f>
        <v>Valid</v>
      </c>
      <c r="L33" s="5"/>
      <c r="M33" s="6"/>
      <c r="N33" s="7"/>
    </row>
    <row r="34" spans="1:14" x14ac:dyDescent="0.25">
      <c r="A34" t="s">
        <v>0</v>
      </c>
      <c r="B34" t="s">
        <v>16</v>
      </c>
      <c r="C34" t="s">
        <v>17</v>
      </c>
      <c r="D34" t="s">
        <v>14</v>
      </c>
      <c r="E34" t="s">
        <v>18</v>
      </c>
      <c r="F34" s="1">
        <v>25</v>
      </c>
      <c r="G34">
        <f>VLOOKUP(C34,Master_Targets!$A$2:$B$5,2,0)</f>
        <v>4</v>
      </c>
      <c r="H34" t="str">
        <f t="shared" si="1"/>
        <v>Delayed</v>
      </c>
      <c r="I34" t="str">
        <f t="shared" si="0"/>
        <v>Duplicate</v>
      </c>
      <c r="J34" t="str">
        <f t="shared" ref="J34:J65" si="31">IF(OR(F34&lt;=0,F34&gt;100),"Error:Check Data","Valid")</f>
        <v>Valid</v>
      </c>
      <c r="L34" s="5"/>
      <c r="M34" s="6"/>
      <c r="N34" s="7"/>
    </row>
    <row r="35" spans="1:14" x14ac:dyDescent="0.25">
      <c r="A35" t="s">
        <v>61</v>
      </c>
      <c r="B35" t="s">
        <v>20</v>
      </c>
      <c r="C35" t="s">
        <v>8</v>
      </c>
      <c r="D35" t="s">
        <v>14</v>
      </c>
      <c r="E35" t="s">
        <v>21</v>
      </c>
      <c r="F35" s="1">
        <v>24</v>
      </c>
      <c r="G35">
        <f>VLOOKUP(C35,Master_Targets!$A$2:$B$5,2,0)</f>
        <v>48</v>
      </c>
      <c r="H35" t="str">
        <f t="shared" si="1"/>
        <v>On-Time</v>
      </c>
      <c r="I35" t="str">
        <f t="shared" si="0"/>
        <v>Unique</v>
      </c>
      <c r="J35" t="str">
        <f t="shared" ref="J35:J66" si="32">IF(OR(F35&lt;=0,F35&gt;100),"Error:Check  Data","Valid")</f>
        <v>Valid</v>
      </c>
      <c r="L35" s="5"/>
      <c r="M35" s="6"/>
      <c r="N35" s="7"/>
    </row>
    <row r="36" spans="1:14" x14ac:dyDescent="0.25">
      <c r="A36" t="s">
        <v>62</v>
      </c>
      <c r="B36" t="s">
        <v>23</v>
      </c>
      <c r="C36" t="s">
        <v>24</v>
      </c>
      <c r="D36" t="s">
        <v>14</v>
      </c>
      <c r="E36" t="s">
        <v>25</v>
      </c>
      <c r="F36" s="1">
        <v>8</v>
      </c>
      <c r="G36">
        <f>VLOOKUP(C36,Master_Targets!$A$2:$B$5,2,0)</f>
        <v>6</v>
      </c>
      <c r="H36" t="str">
        <f t="shared" si="1"/>
        <v>Delayed</v>
      </c>
      <c r="I36" t="str">
        <f t="shared" si="0"/>
        <v>Unique</v>
      </c>
      <c r="J36" t="str">
        <f t="shared" ref="J36:J67" si="33">IF(OR(F35&lt;=0,F36&gt;100),"Error:Check Data","Valid")</f>
        <v>Valid</v>
      </c>
      <c r="L36" s="5"/>
      <c r="M36" s="6"/>
      <c r="N36" s="7"/>
    </row>
    <row r="37" spans="1:14" x14ac:dyDescent="0.25">
      <c r="A37" t="s">
        <v>63</v>
      </c>
      <c r="B37" t="s">
        <v>27</v>
      </c>
      <c r="C37" t="s">
        <v>8</v>
      </c>
      <c r="D37" t="s">
        <v>9</v>
      </c>
      <c r="E37" t="s">
        <v>28</v>
      </c>
      <c r="F37" s="1">
        <v>6</v>
      </c>
      <c r="G37">
        <f>VLOOKUP(C37,Master_Targets!$A$2:$B$5,2,0)</f>
        <v>48</v>
      </c>
      <c r="H37" t="str">
        <f t="shared" si="1"/>
        <v>On-Time</v>
      </c>
      <c r="I37" t="str">
        <f t="shared" si="0"/>
        <v>Unique</v>
      </c>
      <c r="J37" t="str">
        <f t="shared" ref="J37:J68" si="34">IF(OR(F37&lt;=0,F37&gt;100),"Error:Check Data","Valid")</f>
        <v>Valid</v>
      </c>
      <c r="L37" s="8"/>
      <c r="M37" s="9"/>
      <c r="N37" s="10"/>
    </row>
    <row r="38" spans="1:14" x14ac:dyDescent="0.25">
      <c r="A38" t="s">
        <v>64</v>
      </c>
      <c r="B38" t="s">
        <v>33</v>
      </c>
      <c r="C38" t="s">
        <v>34</v>
      </c>
      <c r="D38" t="s">
        <v>9</v>
      </c>
      <c r="E38" t="s">
        <v>35</v>
      </c>
      <c r="F38" s="1">
        <v>5</v>
      </c>
      <c r="G38">
        <f>VLOOKUP(C38,Master_Targets!$A$2:$B$5,2,0)</f>
        <v>12</v>
      </c>
      <c r="H38" t="str">
        <f t="shared" si="1"/>
        <v>On-Time</v>
      </c>
      <c r="I38" t="str">
        <f t="shared" si="0"/>
        <v>Unique</v>
      </c>
      <c r="J38" t="str">
        <f t="shared" ref="J38:J69" si="35">IF(OR(F38&lt;=0,F38&gt;100),"Error:Check  Data","Valid")</f>
        <v>Valid</v>
      </c>
    </row>
    <row r="39" spans="1:14" x14ac:dyDescent="0.25">
      <c r="A39" t="s">
        <v>65</v>
      </c>
      <c r="B39" t="s">
        <v>36</v>
      </c>
      <c r="C39" t="s">
        <v>8</v>
      </c>
      <c r="D39" t="s">
        <v>14</v>
      </c>
      <c r="E39" t="s">
        <v>37</v>
      </c>
      <c r="F39" s="1">
        <v>8</v>
      </c>
      <c r="G39">
        <f>VLOOKUP(C39,Master_Targets!$A$2:$B$5,2,0)</f>
        <v>48</v>
      </c>
      <c r="H39" t="str">
        <f t="shared" si="1"/>
        <v>On-Time</v>
      </c>
      <c r="I39" t="str">
        <f t="shared" si="0"/>
        <v>Unique</v>
      </c>
      <c r="J39" t="str">
        <f t="shared" ref="J39:J70" si="36">IF(OR(F38&lt;=0,F39&gt;100),"Error:Check Data","Valid")</f>
        <v>Valid</v>
      </c>
    </row>
    <row r="40" spans="1:14" x14ac:dyDescent="0.25">
      <c r="A40" t="s">
        <v>66</v>
      </c>
      <c r="B40" t="s">
        <v>38</v>
      </c>
      <c r="C40" t="s">
        <v>24</v>
      </c>
      <c r="D40" t="s">
        <v>9</v>
      </c>
      <c r="E40" t="s">
        <v>25</v>
      </c>
      <c r="F40" s="1">
        <v>48</v>
      </c>
      <c r="G40">
        <f>VLOOKUP(C40,Master_Targets!$A$2:$B$5,2,0)</f>
        <v>6</v>
      </c>
      <c r="H40" t="str">
        <f t="shared" si="1"/>
        <v>Delayed</v>
      </c>
      <c r="I40" t="str">
        <f t="shared" si="0"/>
        <v>Unique</v>
      </c>
      <c r="J40" t="str">
        <f t="shared" ref="J40:J71" si="37">IF(OR(F40&lt;=0,F40&gt;100),"Error:Check Data","Valid")</f>
        <v>Valid</v>
      </c>
    </row>
    <row r="41" spans="1:14" x14ac:dyDescent="0.25">
      <c r="A41" t="s">
        <v>67</v>
      </c>
      <c r="B41" t="s">
        <v>39</v>
      </c>
      <c r="C41" t="s">
        <v>8</v>
      </c>
      <c r="D41" t="s">
        <v>9</v>
      </c>
      <c r="E41" t="s">
        <v>40</v>
      </c>
      <c r="F41" s="1">
        <v>43</v>
      </c>
      <c r="G41">
        <f>VLOOKUP(C41,Master_Targets!$A$2:$B$5,2,0)</f>
        <v>48</v>
      </c>
      <c r="H41" t="str">
        <f t="shared" si="1"/>
        <v>On-Time</v>
      </c>
      <c r="I41" t="str">
        <f t="shared" si="0"/>
        <v>Unique</v>
      </c>
      <c r="J41" t="str">
        <f t="shared" ref="J41:J72" si="38">IF(OR(F41&lt;=0,F41&gt;100),"Error:Check  Data","Valid")</f>
        <v>Valid</v>
      </c>
    </row>
    <row r="42" spans="1:14" x14ac:dyDescent="0.25">
      <c r="A42" t="s">
        <v>68</v>
      </c>
      <c r="B42" t="s">
        <v>7</v>
      </c>
      <c r="C42" t="s">
        <v>8</v>
      </c>
      <c r="D42" t="s">
        <v>9</v>
      </c>
      <c r="E42" t="s">
        <v>10</v>
      </c>
      <c r="F42" s="1">
        <v>5</v>
      </c>
      <c r="G42">
        <f>VLOOKUP(C42,Master_Targets!$A$2:$B$5,2,0)</f>
        <v>48</v>
      </c>
      <c r="H42" t="str">
        <f t="shared" si="1"/>
        <v>On-Time</v>
      </c>
      <c r="I42" t="str">
        <f t="shared" si="0"/>
        <v>Unique</v>
      </c>
      <c r="J42" t="str">
        <f t="shared" ref="J42:J73" si="39">IF(OR(F41&lt;=0,F42&gt;100),"Error:Check Data","Valid")</f>
        <v>Valid</v>
      </c>
    </row>
    <row r="43" spans="1:14" x14ac:dyDescent="0.25">
      <c r="A43" t="s">
        <v>69</v>
      </c>
      <c r="B43" t="s">
        <v>13</v>
      </c>
      <c r="C43" t="s">
        <v>8</v>
      </c>
      <c r="D43" t="s">
        <v>14</v>
      </c>
      <c r="E43" t="s">
        <v>15</v>
      </c>
      <c r="F43" s="1">
        <v>6</v>
      </c>
      <c r="G43">
        <f>VLOOKUP(C43,Master_Targets!$A$2:$B$5,2,0)</f>
        <v>48</v>
      </c>
      <c r="H43" t="str">
        <f t="shared" si="1"/>
        <v>On-Time</v>
      </c>
      <c r="I43" t="str">
        <f t="shared" si="0"/>
        <v>Unique</v>
      </c>
      <c r="J43" t="str">
        <f t="shared" ref="J43:J74" si="40">IF(OR(F43&lt;=0,F43&gt;100),"Error:Check Data","Valid")</f>
        <v>Valid</v>
      </c>
    </row>
    <row r="44" spans="1:14" x14ac:dyDescent="0.25">
      <c r="A44" t="s">
        <v>70</v>
      </c>
      <c r="B44" t="s">
        <v>16</v>
      </c>
      <c r="C44" t="s">
        <v>17</v>
      </c>
      <c r="D44" t="s">
        <v>14</v>
      </c>
      <c r="E44" t="s">
        <v>18</v>
      </c>
      <c r="F44" s="1">
        <v>7</v>
      </c>
      <c r="G44">
        <f>VLOOKUP(C44,Master_Targets!$A$2:$B$5,2,0)</f>
        <v>4</v>
      </c>
      <c r="H44" t="str">
        <f t="shared" si="1"/>
        <v>Delayed</v>
      </c>
      <c r="I44" t="str">
        <f t="shared" si="0"/>
        <v>Unique</v>
      </c>
      <c r="J44" t="str">
        <f t="shared" ref="J44:J75" si="41">IF(OR(F44&lt;=0,F44&gt;100),"Error:Check  Data","Valid")</f>
        <v>Valid</v>
      </c>
    </row>
    <row r="45" spans="1:14" x14ac:dyDescent="0.25">
      <c r="A45" t="s">
        <v>0</v>
      </c>
      <c r="B45" t="s">
        <v>20</v>
      </c>
      <c r="C45" t="s">
        <v>8</v>
      </c>
      <c r="D45" t="s">
        <v>14</v>
      </c>
      <c r="E45" t="s">
        <v>21</v>
      </c>
      <c r="F45" s="1">
        <v>4</v>
      </c>
      <c r="G45">
        <f>VLOOKUP(C45,Master_Targets!$A$2:$B$5,2,0)</f>
        <v>48</v>
      </c>
      <c r="H45" t="str">
        <f t="shared" si="1"/>
        <v>On-Time</v>
      </c>
      <c r="I45" t="str">
        <f t="shared" si="0"/>
        <v>Duplicate</v>
      </c>
      <c r="J45" t="str">
        <f t="shared" ref="J45:J76" si="42">IF(OR(F44&lt;=0,F45&gt;100),"Error:Check Data","Valid")</f>
        <v>Valid</v>
      </c>
    </row>
    <row r="46" spans="1:14" x14ac:dyDescent="0.25">
      <c r="A46" t="s">
        <v>71</v>
      </c>
      <c r="B46" t="s">
        <v>23</v>
      </c>
      <c r="C46" t="s">
        <v>24</v>
      </c>
      <c r="D46" t="s">
        <v>14</v>
      </c>
      <c r="E46" t="s">
        <v>25</v>
      </c>
      <c r="F46" s="1">
        <v>3</v>
      </c>
      <c r="G46">
        <f>VLOOKUP(C46,Master_Targets!$A$2:$B$5,2,0)</f>
        <v>6</v>
      </c>
      <c r="H46" t="str">
        <f t="shared" si="1"/>
        <v>On-Time</v>
      </c>
      <c r="I46" t="str">
        <f t="shared" si="0"/>
        <v>Unique</v>
      </c>
      <c r="J46" t="str">
        <f t="shared" ref="J46:J77" si="43">IF(OR(F46&lt;=0,F46&gt;100),"Error:Check Data","Valid")</f>
        <v>Valid</v>
      </c>
    </row>
    <row r="47" spans="1:14" x14ac:dyDescent="0.25">
      <c r="A47" t="s">
        <v>72</v>
      </c>
      <c r="B47" t="s">
        <v>27</v>
      </c>
      <c r="C47" t="s">
        <v>8</v>
      </c>
      <c r="D47" t="s">
        <v>9</v>
      </c>
      <c r="E47" t="s">
        <v>28</v>
      </c>
      <c r="F47" s="1">
        <v>2</v>
      </c>
      <c r="G47">
        <f>VLOOKUP(C47,Master_Targets!$A$2:$B$5,2,0)</f>
        <v>48</v>
      </c>
      <c r="H47" t="str">
        <f t="shared" si="1"/>
        <v>On-Time</v>
      </c>
      <c r="I47" t="str">
        <f t="shared" si="0"/>
        <v>Unique</v>
      </c>
      <c r="J47" t="str">
        <f t="shared" ref="J47:J78" si="44">IF(OR(F47&lt;=0,F47&gt;100),"Error:Check  Data","Valid")</f>
        <v>Valid</v>
      </c>
    </row>
    <row r="48" spans="1:14" x14ac:dyDescent="0.25">
      <c r="A48" t="s">
        <v>73</v>
      </c>
      <c r="B48" t="s">
        <v>33</v>
      </c>
      <c r="C48" t="s">
        <v>34</v>
      </c>
      <c r="D48" t="s">
        <v>9</v>
      </c>
      <c r="E48" t="s">
        <v>35</v>
      </c>
      <c r="F48" s="1">
        <v>7</v>
      </c>
      <c r="G48">
        <f>VLOOKUP(C48,Master_Targets!$A$2:$B$5,2,0)</f>
        <v>12</v>
      </c>
      <c r="H48" t="str">
        <f t="shared" si="1"/>
        <v>On-Time</v>
      </c>
      <c r="I48" t="str">
        <f t="shared" si="0"/>
        <v>Unique</v>
      </c>
      <c r="J48" t="str">
        <f t="shared" ref="J48:J79" si="45">IF(OR(F47&lt;=0,F48&gt;100),"Error:Check Data","Valid")</f>
        <v>Valid</v>
      </c>
    </row>
    <row r="49" spans="1:10" x14ac:dyDescent="0.25">
      <c r="A49" t="s">
        <v>74</v>
      </c>
      <c r="B49" t="s">
        <v>36</v>
      </c>
      <c r="C49" t="s">
        <v>8</v>
      </c>
      <c r="D49" t="s">
        <v>14</v>
      </c>
      <c r="E49" t="s">
        <v>37</v>
      </c>
      <c r="F49" s="1">
        <v>8</v>
      </c>
      <c r="G49">
        <f>VLOOKUP(C49,Master_Targets!$A$2:$B$5,2,0)</f>
        <v>48</v>
      </c>
      <c r="H49" t="str">
        <f t="shared" si="1"/>
        <v>On-Time</v>
      </c>
      <c r="I49" t="str">
        <f t="shared" si="0"/>
        <v>Unique</v>
      </c>
      <c r="J49" t="str">
        <f t="shared" ref="J49:J80" si="46">IF(OR(F49&lt;=0,F49&gt;100),"Error:Check Data","Valid")</f>
        <v>Valid</v>
      </c>
    </row>
    <row r="50" spans="1:10" x14ac:dyDescent="0.25">
      <c r="A50" t="s">
        <v>75</v>
      </c>
      <c r="B50" t="s">
        <v>38</v>
      </c>
      <c r="C50" t="s">
        <v>24</v>
      </c>
      <c r="D50" t="s">
        <v>9</v>
      </c>
      <c r="E50" t="s">
        <v>25</v>
      </c>
      <c r="F50" s="1">
        <v>36</v>
      </c>
      <c r="G50">
        <f>VLOOKUP(C50,Master_Targets!$A$2:$B$5,2,0)</f>
        <v>6</v>
      </c>
      <c r="H50" t="str">
        <f t="shared" si="1"/>
        <v>Delayed</v>
      </c>
      <c r="I50" t="str">
        <f t="shared" si="0"/>
        <v>Unique</v>
      </c>
      <c r="J50" t="str">
        <f t="shared" ref="J50:J81" si="47">IF(OR(F50&lt;=0,F50&gt;100),"Error:Check  Data","Valid")</f>
        <v>Valid</v>
      </c>
    </row>
    <row r="51" spans="1:10" x14ac:dyDescent="0.25">
      <c r="A51" t="s">
        <v>76</v>
      </c>
      <c r="B51" t="s">
        <v>39</v>
      </c>
      <c r="C51" t="s">
        <v>8</v>
      </c>
      <c r="D51" t="s">
        <v>9</v>
      </c>
      <c r="E51" t="s">
        <v>40</v>
      </c>
      <c r="F51" s="1">
        <v>42</v>
      </c>
      <c r="G51">
        <f>VLOOKUP(C51,Master_Targets!$A$2:$B$5,2,0)</f>
        <v>48</v>
      </c>
      <c r="H51" t="str">
        <f t="shared" si="1"/>
        <v>On-Time</v>
      </c>
      <c r="I51" t="str">
        <f t="shared" si="0"/>
        <v>Unique</v>
      </c>
      <c r="J51" t="str">
        <f t="shared" ref="J51:J82" si="48">IF(OR(F50&lt;=0,F51&gt;100),"Error:Check Data","Valid")</f>
        <v>Valid</v>
      </c>
    </row>
    <row r="52" spans="1:10" x14ac:dyDescent="0.25">
      <c r="A52" t="s">
        <v>77</v>
      </c>
      <c r="B52" t="s">
        <v>7</v>
      </c>
      <c r="C52" t="s">
        <v>8</v>
      </c>
      <c r="D52" t="s">
        <v>9</v>
      </c>
      <c r="E52" t="s">
        <v>10</v>
      </c>
      <c r="F52" s="1">
        <v>39</v>
      </c>
      <c r="G52">
        <f>VLOOKUP(C52,Master_Targets!$A$2:$B$5,2,0)</f>
        <v>48</v>
      </c>
      <c r="H52" t="str">
        <f t="shared" si="1"/>
        <v>On-Time</v>
      </c>
      <c r="I52" t="str">
        <f t="shared" si="0"/>
        <v>Unique</v>
      </c>
      <c r="J52" t="str">
        <f t="shared" ref="J52:J83" si="49">IF(OR(F52&lt;=0,F52&gt;100),"Error:Check Data","Valid")</f>
        <v>Valid</v>
      </c>
    </row>
    <row r="53" spans="1:10" x14ac:dyDescent="0.25">
      <c r="A53" t="s">
        <v>78</v>
      </c>
      <c r="B53" t="s">
        <v>13</v>
      </c>
      <c r="C53" t="s">
        <v>8</v>
      </c>
      <c r="D53" t="s">
        <v>14</v>
      </c>
      <c r="E53" t="s">
        <v>15</v>
      </c>
      <c r="F53" s="1">
        <v>4</v>
      </c>
      <c r="G53">
        <f>VLOOKUP(C53,Master_Targets!$A$2:$B$5,2,0)</f>
        <v>48</v>
      </c>
      <c r="H53" t="str">
        <f t="shared" si="1"/>
        <v>On-Time</v>
      </c>
      <c r="I53" t="str">
        <f t="shared" si="0"/>
        <v>Unique</v>
      </c>
      <c r="J53" t="str">
        <f t="shared" ref="J53:J84" si="50">IF(OR(F53&lt;=0,F53&gt;100),"Error:Check  Data","Valid")</f>
        <v>Valid</v>
      </c>
    </row>
    <row r="54" spans="1:10" x14ac:dyDescent="0.25">
      <c r="A54" t="s">
        <v>79</v>
      </c>
      <c r="B54" t="s">
        <v>16</v>
      </c>
      <c r="C54" t="s">
        <v>17</v>
      </c>
      <c r="D54" t="s">
        <v>14</v>
      </c>
      <c r="E54" t="s">
        <v>18</v>
      </c>
      <c r="F54" s="1">
        <v>3</v>
      </c>
      <c r="G54">
        <f>VLOOKUP(C54,Master_Targets!$A$2:$B$5,2,0)</f>
        <v>4</v>
      </c>
      <c r="H54" t="str">
        <f t="shared" si="1"/>
        <v>On-Time</v>
      </c>
      <c r="I54" t="str">
        <f t="shared" si="0"/>
        <v>Unique</v>
      </c>
      <c r="J54" t="str">
        <f t="shared" ref="J54:J85" si="51">IF(OR(F53&lt;=0,F54&gt;100),"Error:Check Data","Valid")</f>
        <v>Valid</v>
      </c>
    </row>
    <row r="55" spans="1:10" x14ac:dyDescent="0.25">
      <c r="A55" t="s">
        <v>80</v>
      </c>
      <c r="B55" t="s">
        <v>20</v>
      </c>
      <c r="C55" t="s">
        <v>8</v>
      </c>
      <c r="D55" t="s">
        <v>14</v>
      </c>
      <c r="E55" t="s">
        <v>21</v>
      </c>
      <c r="F55" s="1">
        <v>7</v>
      </c>
      <c r="G55">
        <f>VLOOKUP(C55,Master_Targets!$A$2:$B$5,2,0)</f>
        <v>48</v>
      </c>
      <c r="H55" t="str">
        <f t="shared" si="1"/>
        <v>On-Time</v>
      </c>
      <c r="I55" t="str">
        <f t="shared" si="0"/>
        <v>Unique</v>
      </c>
      <c r="J55" t="str">
        <f t="shared" ref="J55:J86" si="52">IF(OR(F55&lt;=0,F55&gt;100),"Error:Check Data","Valid")</f>
        <v>Valid</v>
      </c>
    </row>
    <row r="56" spans="1:10" x14ac:dyDescent="0.25">
      <c r="A56" t="s">
        <v>0</v>
      </c>
      <c r="B56" t="s">
        <v>23</v>
      </c>
      <c r="C56" t="s">
        <v>24</v>
      </c>
      <c r="D56" t="s">
        <v>14</v>
      </c>
      <c r="E56" t="s">
        <v>25</v>
      </c>
      <c r="F56" s="1">
        <v>6</v>
      </c>
      <c r="G56">
        <f>VLOOKUP(C56,Master_Targets!$A$2:$B$5,2,0)</f>
        <v>6</v>
      </c>
      <c r="H56" t="str">
        <f t="shared" si="1"/>
        <v>On-Time</v>
      </c>
      <c r="I56" t="str">
        <f t="shared" si="0"/>
        <v>Duplicate</v>
      </c>
      <c r="J56" t="str">
        <f t="shared" ref="J56:J87" si="53">IF(OR(F56&lt;=0,F56&gt;100),"Error:Check  Data","Valid")</f>
        <v>Valid</v>
      </c>
    </row>
    <row r="57" spans="1:10" x14ac:dyDescent="0.25">
      <c r="A57" t="s">
        <v>81</v>
      </c>
      <c r="B57" t="s">
        <v>27</v>
      </c>
      <c r="C57" t="s">
        <v>8</v>
      </c>
      <c r="D57" t="s">
        <v>9</v>
      </c>
      <c r="E57" t="s">
        <v>28</v>
      </c>
      <c r="F57" s="1">
        <v>5</v>
      </c>
      <c r="G57">
        <f>VLOOKUP(C57,Master_Targets!$A$2:$B$5,2,0)</f>
        <v>48</v>
      </c>
      <c r="H57" t="str">
        <f t="shared" si="1"/>
        <v>On-Time</v>
      </c>
      <c r="I57" t="str">
        <f t="shared" si="0"/>
        <v>Unique</v>
      </c>
      <c r="J57" t="str">
        <f t="shared" ref="J57:J88" si="54">IF(OR(F56&lt;=0,F57&gt;100),"Error:Check Data","Valid")</f>
        <v>Valid</v>
      </c>
    </row>
    <row r="58" spans="1:10" x14ac:dyDescent="0.25">
      <c r="A58" t="s">
        <v>82</v>
      </c>
      <c r="B58" t="s">
        <v>33</v>
      </c>
      <c r="C58" t="s">
        <v>34</v>
      </c>
      <c r="D58" t="s">
        <v>9</v>
      </c>
      <c r="E58" t="s">
        <v>35</v>
      </c>
      <c r="F58" s="1">
        <v>8</v>
      </c>
      <c r="G58">
        <f>VLOOKUP(C58,Master_Targets!$A$2:$B$5,2,0)</f>
        <v>12</v>
      </c>
      <c r="H58" t="str">
        <f t="shared" si="1"/>
        <v>On-Time</v>
      </c>
      <c r="I58" t="str">
        <f t="shared" si="0"/>
        <v>Unique</v>
      </c>
      <c r="J58" t="str">
        <f t="shared" ref="J58:J89" si="55">IF(OR(F58&lt;=0,F58&gt;100),"Error:Check Data","Valid")</f>
        <v>Valid</v>
      </c>
    </row>
    <row r="59" spans="1:10" x14ac:dyDescent="0.25">
      <c r="A59" t="s">
        <v>83</v>
      </c>
      <c r="B59" t="s">
        <v>36</v>
      </c>
      <c r="C59" t="s">
        <v>8</v>
      </c>
      <c r="D59" t="s">
        <v>14</v>
      </c>
      <c r="E59" t="s">
        <v>37</v>
      </c>
      <c r="F59" s="1">
        <v>5</v>
      </c>
      <c r="G59">
        <f>VLOOKUP(C59,Master_Targets!$A$2:$B$5,2,0)</f>
        <v>48</v>
      </c>
      <c r="H59" t="str">
        <f t="shared" si="1"/>
        <v>On-Time</v>
      </c>
      <c r="I59" t="str">
        <f t="shared" si="0"/>
        <v>Unique</v>
      </c>
      <c r="J59" t="str">
        <f t="shared" ref="J59:J90" si="56">IF(OR(F59&lt;=0,F59&gt;100),"Error:Check  Data","Valid")</f>
        <v>Valid</v>
      </c>
    </row>
    <row r="60" spans="1:10" x14ac:dyDescent="0.25">
      <c r="A60" t="s">
        <v>84</v>
      </c>
      <c r="B60" t="s">
        <v>38</v>
      </c>
      <c r="C60" t="s">
        <v>24</v>
      </c>
      <c r="D60" t="s">
        <v>9</v>
      </c>
      <c r="E60" t="s">
        <v>25</v>
      </c>
      <c r="F60" s="1">
        <v>4</v>
      </c>
      <c r="G60">
        <f>VLOOKUP(C60,Master_Targets!$A$2:$B$5,2,0)</f>
        <v>6</v>
      </c>
      <c r="H60" t="str">
        <f t="shared" si="1"/>
        <v>On-Time</v>
      </c>
      <c r="I60" t="str">
        <f t="shared" si="0"/>
        <v>Unique</v>
      </c>
      <c r="J60" t="str">
        <f t="shared" ref="J60:J91" si="57">IF(OR(F59&lt;=0,F60&gt;100),"Error:Check Data","Valid")</f>
        <v>Valid</v>
      </c>
    </row>
    <row r="61" spans="1:10" x14ac:dyDescent="0.25">
      <c r="A61" t="s">
        <v>85</v>
      </c>
      <c r="B61" t="s">
        <v>39</v>
      </c>
      <c r="C61" t="s">
        <v>8</v>
      </c>
      <c r="D61" t="s">
        <v>9</v>
      </c>
      <c r="E61" t="s">
        <v>40</v>
      </c>
      <c r="F61" s="1">
        <v>3</v>
      </c>
      <c r="G61">
        <f>VLOOKUP(C61,Master_Targets!$A$2:$B$5,2,0)</f>
        <v>48</v>
      </c>
      <c r="H61" t="str">
        <f t="shared" si="1"/>
        <v>On-Time</v>
      </c>
      <c r="I61" t="str">
        <f t="shared" si="0"/>
        <v>Unique</v>
      </c>
      <c r="J61" t="str">
        <f t="shared" ref="J61:J92" si="58">IF(OR(F61&lt;=0,F61&gt;100),"Error:Check Data","Valid")</f>
        <v>Valid</v>
      </c>
    </row>
    <row r="62" spans="1:10" x14ac:dyDescent="0.25">
      <c r="A62" t="s">
        <v>86</v>
      </c>
      <c r="B62" t="s">
        <v>7</v>
      </c>
      <c r="C62" t="s">
        <v>8</v>
      </c>
      <c r="D62" t="s">
        <v>9</v>
      </c>
      <c r="E62" t="s">
        <v>10</v>
      </c>
      <c r="F62" s="1">
        <v>5</v>
      </c>
      <c r="G62">
        <f>VLOOKUP(C62,Master_Targets!$A$2:$B$5,2,0)</f>
        <v>48</v>
      </c>
      <c r="H62" t="str">
        <f t="shared" si="1"/>
        <v>On-Time</v>
      </c>
      <c r="I62" t="str">
        <f t="shared" si="0"/>
        <v>Unique</v>
      </c>
      <c r="J62" t="str">
        <f t="shared" ref="J62:J93" si="59">IF(OR(F62&lt;=0,F62&gt;100),"Error:Check  Data","Valid")</f>
        <v>Valid</v>
      </c>
    </row>
    <row r="63" spans="1:10" x14ac:dyDescent="0.25">
      <c r="A63" t="s">
        <v>87</v>
      </c>
      <c r="B63" t="s">
        <v>13</v>
      </c>
      <c r="C63" t="s">
        <v>8</v>
      </c>
      <c r="D63" t="s">
        <v>14</v>
      </c>
      <c r="E63" t="s">
        <v>15</v>
      </c>
      <c r="F63" s="1">
        <v>6</v>
      </c>
      <c r="G63">
        <f>VLOOKUP(C63,Master_Targets!$A$2:$B$5,2,0)</f>
        <v>48</v>
      </c>
      <c r="H63" t="str">
        <f t="shared" si="1"/>
        <v>On-Time</v>
      </c>
      <c r="I63" t="str">
        <f t="shared" si="0"/>
        <v>Unique</v>
      </c>
      <c r="J63" t="str">
        <f t="shared" ref="J63:J94" si="60">IF(OR(F62&lt;=0,F63&gt;100),"Error:Check Data","Valid")</f>
        <v>Valid</v>
      </c>
    </row>
    <row r="64" spans="1:10" x14ac:dyDescent="0.25">
      <c r="A64" t="s">
        <v>88</v>
      </c>
      <c r="B64" t="s">
        <v>16</v>
      </c>
      <c r="C64" t="s">
        <v>17</v>
      </c>
      <c r="D64" t="s">
        <v>14</v>
      </c>
      <c r="E64" t="s">
        <v>18</v>
      </c>
      <c r="F64" s="1">
        <v>46</v>
      </c>
      <c r="G64">
        <f>VLOOKUP(C64,Master_Targets!$A$2:$B$5,2,0)</f>
        <v>4</v>
      </c>
      <c r="H64" t="str">
        <f t="shared" si="1"/>
        <v>Delayed</v>
      </c>
      <c r="I64" t="str">
        <f t="shared" si="0"/>
        <v>Unique</v>
      </c>
      <c r="J64" t="str">
        <f t="shared" ref="J64:J95" si="61">IF(OR(F64&lt;=0,F64&gt;100),"Error:Check Data","Valid")</f>
        <v>Valid</v>
      </c>
    </row>
    <row r="65" spans="1:10" x14ac:dyDescent="0.25">
      <c r="A65" t="s">
        <v>89</v>
      </c>
      <c r="B65" t="s">
        <v>20</v>
      </c>
      <c r="C65" t="s">
        <v>8</v>
      </c>
      <c r="D65" t="s">
        <v>14</v>
      </c>
      <c r="E65" t="s">
        <v>21</v>
      </c>
      <c r="F65" s="1">
        <v>37</v>
      </c>
      <c r="G65">
        <f>VLOOKUP(C65,Master_Targets!$A$2:$B$5,2,0)</f>
        <v>48</v>
      </c>
      <c r="H65" t="str">
        <f t="shared" si="1"/>
        <v>On-Time</v>
      </c>
      <c r="I65" t="str">
        <f t="shared" si="0"/>
        <v>Unique</v>
      </c>
      <c r="J65" t="str">
        <f t="shared" ref="J65:J96" si="62">IF(OR(F65&lt;=0,F65&gt;100),"Error:Check  Data","Valid")</f>
        <v>Valid</v>
      </c>
    </row>
    <row r="66" spans="1:10" x14ac:dyDescent="0.25">
      <c r="A66" t="s">
        <v>90</v>
      </c>
      <c r="B66" t="s">
        <v>23</v>
      </c>
      <c r="C66" t="s">
        <v>24</v>
      </c>
      <c r="D66" t="s">
        <v>14</v>
      </c>
      <c r="E66" t="s">
        <v>25</v>
      </c>
      <c r="F66" s="1">
        <v>46</v>
      </c>
      <c r="G66">
        <f>VLOOKUP(C66,Master_Targets!$A$2:$B$5,2,0)</f>
        <v>6</v>
      </c>
      <c r="H66" t="str">
        <f t="shared" si="1"/>
        <v>Delayed</v>
      </c>
      <c r="I66" t="str">
        <f t="shared" si="0"/>
        <v>Unique</v>
      </c>
      <c r="J66" t="str">
        <f t="shared" ref="J66:J97" si="63">IF(OR(F65&lt;=0,F66&gt;100),"Error:Check Data","Valid")</f>
        <v>Valid</v>
      </c>
    </row>
    <row r="67" spans="1:10" x14ac:dyDescent="0.25">
      <c r="A67" t="s">
        <v>0</v>
      </c>
      <c r="B67" t="s">
        <v>27</v>
      </c>
      <c r="C67" t="s">
        <v>8</v>
      </c>
      <c r="D67" t="s">
        <v>9</v>
      </c>
      <c r="E67" t="s">
        <v>28</v>
      </c>
      <c r="F67" s="1">
        <v>42</v>
      </c>
      <c r="G67">
        <f>VLOOKUP(C67,Master_Targets!$A$2:$B$5,2,0)</f>
        <v>48</v>
      </c>
      <c r="H67" t="str">
        <f t="shared" si="1"/>
        <v>On-Time</v>
      </c>
      <c r="I67" t="str">
        <f t="shared" si="0"/>
        <v>Duplicate</v>
      </c>
      <c r="J67" t="str">
        <f t="shared" ref="J67:J98" si="64">IF(OR(F67&lt;=0,F67&gt;100),"Error:Check Data","Valid")</f>
        <v>Valid</v>
      </c>
    </row>
    <row r="68" spans="1:10" x14ac:dyDescent="0.25">
      <c r="A68" t="s">
        <v>91</v>
      </c>
      <c r="B68" t="s">
        <v>33</v>
      </c>
      <c r="C68" t="s">
        <v>34</v>
      </c>
      <c r="D68" t="s">
        <v>9</v>
      </c>
      <c r="E68" t="s">
        <v>35</v>
      </c>
      <c r="F68" s="1">
        <v>26</v>
      </c>
      <c r="G68">
        <f>VLOOKUP(C68,Master_Targets!$A$2:$B$5,2,0)</f>
        <v>12</v>
      </c>
      <c r="H68" t="str">
        <f t="shared" si="1"/>
        <v>Delayed</v>
      </c>
      <c r="I68" t="str">
        <f t="shared" ref="I68:I131" si="65">IF(COUNTIF($A$2:$A$150,A68)&gt;1,"Duplicate","Unique")</f>
        <v>Unique</v>
      </c>
      <c r="J68" t="str">
        <f t="shared" ref="J68:J99" si="66">IF(OR(F68&lt;=0,F68&gt;100),"Error:Check  Data","Valid")</f>
        <v>Valid</v>
      </c>
    </row>
    <row r="69" spans="1:10" x14ac:dyDescent="0.25">
      <c r="A69" t="s">
        <v>92</v>
      </c>
      <c r="B69" t="s">
        <v>36</v>
      </c>
      <c r="C69" t="s">
        <v>8</v>
      </c>
      <c r="D69" t="s">
        <v>14</v>
      </c>
      <c r="E69" t="s">
        <v>37</v>
      </c>
      <c r="F69" s="1">
        <v>27</v>
      </c>
      <c r="G69">
        <f>VLOOKUP(C69,Master_Targets!$A$2:$B$5,2,0)</f>
        <v>48</v>
      </c>
      <c r="H69" t="str">
        <f t="shared" ref="H69:H132" si="67">IF(F69&gt;G69,"Delayed","On-Time")</f>
        <v>On-Time</v>
      </c>
      <c r="I69" t="str">
        <f t="shared" si="65"/>
        <v>Unique</v>
      </c>
      <c r="J69" t="str">
        <f t="shared" ref="J69:J100" si="68">IF(OR(F68&lt;=0,F69&gt;100),"Error:Check Data","Valid")</f>
        <v>Valid</v>
      </c>
    </row>
    <row r="70" spans="1:10" x14ac:dyDescent="0.25">
      <c r="A70" t="s">
        <v>93</v>
      </c>
      <c r="B70" t="s">
        <v>38</v>
      </c>
      <c r="C70" t="s">
        <v>24</v>
      </c>
      <c r="D70" t="s">
        <v>9</v>
      </c>
      <c r="E70" t="s">
        <v>25</v>
      </c>
      <c r="F70" s="1">
        <v>28</v>
      </c>
      <c r="G70">
        <f>VLOOKUP(C70,Master_Targets!$A$2:$B$5,2,0)</f>
        <v>6</v>
      </c>
      <c r="H70" t="str">
        <f t="shared" si="67"/>
        <v>Delayed</v>
      </c>
      <c r="I70" t="str">
        <f t="shared" si="65"/>
        <v>Unique</v>
      </c>
      <c r="J70" t="str">
        <f t="shared" ref="J70:J101" si="69">IF(OR(F70&lt;=0,F70&gt;100),"Error:Check Data","Valid")</f>
        <v>Valid</v>
      </c>
    </row>
    <row r="71" spans="1:10" x14ac:dyDescent="0.25">
      <c r="A71" t="s">
        <v>94</v>
      </c>
      <c r="B71" t="s">
        <v>39</v>
      </c>
      <c r="C71" t="s">
        <v>8</v>
      </c>
      <c r="D71" t="s">
        <v>9</v>
      </c>
      <c r="E71" t="s">
        <v>40</v>
      </c>
      <c r="F71" s="1">
        <v>29</v>
      </c>
      <c r="G71">
        <f>VLOOKUP(C71,Master_Targets!$A$2:$B$5,2,0)</f>
        <v>48</v>
      </c>
      <c r="H71" t="str">
        <f t="shared" si="67"/>
        <v>On-Time</v>
      </c>
      <c r="I71" t="str">
        <f t="shared" si="65"/>
        <v>Unique</v>
      </c>
      <c r="J71" t="str">
        <f t="shared" ref="J71:J102" si="70">IF(OR(F71&lt;=0,F71&gt;100),"Error:Check  Data","Valid")</f>
        <v>Valid</v>
      </c>
    </row>
    <row r="72" spans="1:10" x14ac:dyDescent="0.25">
      <c r="A72" t="s">
        <v>95</v>
      </c>
      <c r="B72" t="s">
        <v>7</v>
      </c>
      <c r="C72" t="s">
        <v>8</v>
      </c>
      <c r="D72" t="s">
        <v>9</v>
      </c>
      <c r="E72" t="s">
        <v>10</v>
      </c>
      <c r="F72" s="1">
        <v>27</v>
      </c>
      <c r="G72">
        <f>VLOOKUP(C72,Master_Targets!$A$2:$B$5,2,0)</f>
        <v>48</v>
      </c>
      <c r="H72" t="str">
        <f t="shared" si="67"/>
        <v>On-Time</v>
      </c>
      <c r="I72" t="str">
        <f t="shared" si="65"/>
        <v>Unique</v>
      </c>
      <c r="J72" t="str">
        <f t="shared" ref="J72:J103" si="71">IF(OR(F71&lt;=0,F72&gt;100),"Error:Check Data","Valid")</f>
        <v>Valid</v>
      </c>
    </row>
    <row r="73" spans="1:10" x14ac:dyDescent="0.25">
      <c r="A73" t="s">
        <v>96</v>
      </c>
      <c r="B73" t="s">
        <v>13</v>
      </c>
      <c r="C73" t="s">
        <v>8</v>
      </c>
      <c r="D73" t="s">
        <v>14</v>
      </c>
      <c r="E73" t="s">
        <v>15</v>
      </c>
      <c r="F73" s="1">
        <v>35</v>
      </c>
      <c r="G73">
        <f>VLOOKUP(C73,Master_Targets!$A$2:$B$5,2,0)</f>
        <v>48</v>
      </c>
      <c r="H73" t="str">
        <f t="shared" si="67"/>
        <v>On-Time</v>
      </c>
      <c r="I73" t="str">
        <f t="shared" si="65"/>
        <v>Unique</v>
      </c>
      <c r="J73" t="str">
        <f t="shared" ref="J73:J104" si="72">IF(OR(F73&lt;=0,F73&gt;100),"Error:Check Data","Valid")</f>
        <v>Valid</v>
      </c>
    </row>
    <row r="74" spans="1:10" x14ac:dyDescent="0.25">
      <c r="A74" t="s">
        <v>97</v>
      </c>
      <c r="B74" t="s">
        <v>16</v>
      </c>
      <c r="C74" t="s">
        <v>17</v>
      </c>
      <c r="D74" t="s">
        <v>14</v>
      </c>
      <c r="E74" t="s">
        <v>18</v>
      </c>
      <c r="F74" s="1">
        <v>37</v>
      </c>
      <c r="G74">
        <f>VLOOKUP(C74,Master_Targets!$A$2:$B$5,2,0)</f>
        <v>4</v>
      </c>
      <c r="H74" t="str">
        <f t="shared" si="67"/>
        <v>Delayed</v>
      </c>
      <c r="I74" t="str">
        <f t="shared" si="65"/>
        <v>Unique</v>
      </c>
      <c r="J74" t="str">
        <f t="shared" ref="J74:J105" si="73">IF(OR(F74&lt;=0,F74&gt;100),"Error:Check  Data","Valid")</f>
        <v>Valid</v>
      </c>
    </row>
    <row r="75" spans="1:10" x14ac:dyDescent="0.25">
      <c r="A75" t="s">
        <v>98</v>
      </c>
      <c r="B75" t="s">
        <v>20</v>
      </c>
      <c r="C75" t="s">
        <v>8</v>
      </c>
      <c r="D75" t="s">
        <v>14</v>
      </c>
      <c r="E75" t="s">
        <v>21</v>
      </c>
      <c r="F75" s="1">
        <v>46</v>
      </c>
      <c r="G75">
        <f>VLOOKUP(C75,Master_Targets!$A$2:$B$5,2,0)</f>
        <v>48</v>
      </c>
      <c r="H75" t="str">
        <f t="shared" si="67"/>
        <v>On-Time</v>
      </c>
      <c r="I75" t="str">
        <f t="shared" si="65"/>
        <v>Unique</v>
      </c>
      <c r="J75" t="str">
        <f t="shared" ref="J75:J106" si="74">IF(OR(F74&lt;=0,F75&gt;100),"Error:Check Data","Valid")</f>
        <v>Valid</v>
      </c>
    </row>
    <row r="76" spans="1:10" x14ac:dyDescent="0.25">
      <c r="A76" t="s">
        <v>99</v>
      </c>
      <c r="B76" t="s">
        <v>23</v>
      </c>
      <c r="C76" t="s">
        <v>24</v>
      </c>
      <c r="D76" t="s">
        <v>14</v>
      </c>
      <c r="E76" t="s">
        <v>25</v>
      </c>
      <c r="F76" s="1">
        <v>44</v>
      </c>
      <c r="G76">
        <f>VLOOKUP(C76,Master_Targets!$A$2:$B$5,2,0)</f>
        <v>6</v>
      </c>
      <c r="H76" t="str">
        <f t="shared" si="67"/>
        <v>Delayed</v>
      </c>
      <c r="I76" t="str">
        <f t="shared" si="65"/>
        <v>Unique</v>
      </c>
      <c r="J76" t="str">
        <f t="shared" ref="J76:J107" si="75">IF(OR(F76&lt;=0,F76&gt;100),"Error:Check Data","Valid")</f>
        <v>Valid</v>
      </c>
    </row>
    <row r="77" spans="1:10" x14ac:dyDescent="0.25">
      <c r="A77" t="s">
        <v>100</v>
      </c>
      <c r="B77" t="s">
        <v>27</v>
      </c>
      <c r="C77" t="s">
        <v>8</v>
      </c>
      <c r="D77" t="s">
        <v>9</v>
      </c>
      <c r="E77" t="s">
        <v>28</v>
      </c>
      <c r="F77" s="1">
        <v>42</v>
      </c>
      <c r="G77">
        <f>VLOOKUP(C77,Master_Targets!$A$2:$B$5,2,0)</f>
        <v>48</v>
      </c>
      <c r="H77" t="str">
        <f t="shared" si="67"/>
        <v>On-Time</v>
      </c>
      <c r="I77" t="str">
        <f t="shared" si="65"/>
        <v>Unique</v>
      </c>
      <c r="J77" t="str">
        <f t="shared" ref="J77:J108" si="76">IF(OR(F77&lt;=0,F77&gt;100),"Error:Check  Data","Valid")</f>
        <v>Valid</v>
      </c>
    </row>
    <row r="78" spans="1:10" x14ac:dyDescent="0.25">
      <c r="A78" t="s">
        <v>0</v>
      </c>
      <c r="B78" t="s">
        <v>33</v>
      </c>
      <c r="C78" t="s">
        <v>34</v>
      </c>
      <c r="D78" t="s">
        <v>9</v>
      </c>
      <c r="E78" t="s">
        <v>35</v>
      </c>
      <c r="F78" s="1">
        <v>25</v>
      </c>
      <c r="G78">
        <f>VLOOKUP(C78,Master_Targets!$A$2:$B$5,2,0)</f>
        <v>12</v>
      </c>
      <c r="H78" t="str">
        <f t="shared" si="67"/>
        <v>Delayed</v>
      </c>
      <c r="I78" t="str">
        <f t="shared" si="65"/>
        <v>Duplicate</v>
      </c>
      <c r="J78" t="str">
        <f t="shared" ref="J78:J109" si="77">IF(OR(F77&lt;=0,F78&gt;100),"Error:Check Data","Valid")</f>
        <v>Valid</v>
      </c>
    </row>
    <row r="79" spans="1:10" x14ac:dyDescent="0.25">
      <c r="A79" t="s">
        <v>101</v>
      </c>
      <c r="B79" t="s">
        <v>36</v>
      </c>
      <c r="C79" t="s">
        <v>8</v>
      </c>
      <c r="D79" t="s">
        <v>14</v>
      </c>
      <c r="E79" t="s">
        <v>37</v>
      </c>
      <c r="F79" s="1">
        <v>35</v>
      </c>
      <c r="G79">
        <f>VLOOKUP(C79,Master_Targets!$A$2:$B$5,2,0)</f>
        <v>48</v>
      </c>
      <c r="H79" t="str">
        <f t="shared" si="67"/>
        <v>On-Time</v>
      </c>
      <c r="I79" t="str">
        <f t="shared" si="65"/>
        <v>Unique</v>
      </c>
      <c r="J79" t="str">
        <f t="shared" ref="J79:J110" si="78">IF(OR(F79&lt;=0,F79&gt;100),"Error:Check Data","Valid")</f>
        <v>Valid</v>
      </c>
    </row>
    <row r="80" spans="1:10" x14ac:dyDescent="0.25">
      <c r="A80" t="s">
        <v>102</v>
      </c>
      <c r="B80" t="s">
        <v>38</v>
      </c>
      <c r="C80" t="s">
        <v>24</v>
      </c>
      <c r="D80" t="s">
        <v>9</v>
      </c>
      <c r="E80" t="s">
        <v>25</v>
      </c>
      <c r="F80" s="1">
        <v>47</v>
      </c>
      <c r="G80">
        <f>VLOOKUP(C80,Master_Targets!$A$2:$B$5,2,0)</f>
        <v>6</v>
      </c>
      <c r="H80" t="str">
        <f t="shared" si="67"/>
        <v>Delayed</v>
      </c>
      <c r="I80" t="str">
        <f t="shared" si="65"/>
        <v>Unique</v>
      </c>
      <c r="J80" t="str">
        <f t="shared" ref="J80:J111" si="79">IF(OR(F80&lt;=0,F80&gt;100),"Error:Check  Data","Valid")</f>
        <v>Valid</v>
      </c>
    </row>
    <row r="81" spans="1:10" x14ac:dyDescent="0.25">
      <c r="A81" t="s">
        <v>103</v>
      </c>
      <c r="B81" t="s">
        <v>39</v>
      </c>
      <c r="C81" t="s">
        <v>8</v>
      </c>
      <c r="D81" t="s">
        <v>9</v>
      </c>
      <c r="E81" t="s">
        <v>40</v>
      </c>
      <c r="F81" s="1">
        <v>8</v>
      </c>
      <c r="G81">
        <f>VLOOKUP(C81,Master_Targets!$A$2:$B$5,2,0)</f>
        <v>48</v>
      </c>
      <c r="H81" t="str">
        <f t="shared" si="67"/>
        <v>On-Time</v>
      </c>
      <c r="I81" t="str">
        <f t="shared" si="65"/>
        <v>Unique</v>
      </c>
      <c r="J81" t="str">
        <f t="shared" ref="J81:J112" si="80">IF(OR(F80&lt;=0,F81&gt;100),"Error:Check Data","Valid")</f>
        <v>Valid</v>
      </c>
    </row>
    <row r="82" spans="1:10" x14ac:dyDescent="0.25">
      <c r="A82" t="s">
        <v>104</v>
      </c>
      <c r="B82" t="s">
        <v>7</v>
      </c>
      <c r="C82" t="s">
        <v>8</v>
      </c>
      <c r="D82" t="s">
        <v>9</v>
      </c>
      <c r="E82" t="s">
        <v>10</v>
      </c>
      <c r="F82" s="1">
        <v>9</v>
      </c>
      <c r="G82">
        <f>VLOOKUP(C82,Master_Targets!$A$2:$B$5,2,0)</f>
        <v>48</v>
      </c>
      <c r="H82" t="str">
        <f t="shared" si="67"/>
        <v>On-Time</v>
      </c>
      <c r="I82" t="str">
        <f t="shared" si="65"/>
        <v>Unique</v>
      </c>
      <c r="J82" t="str">
        <f t="shared" ref="J82:J113" si="81">IF(OR(F82&lt;=0,F82&gt;100),"Error:Check Data","Valid")</f>
        <v>Valid</v>
      </c>
    </row>
    <row r="83" spans="1:10" x14ac:dyDescent="0.25">
      <c r="A83" t="s">
        <v>105</v>
      </c>
      <c r="B83" t="s">
        <v>13</v>
      </c>
      <c r="C83" t="s">
        <v>8</v>
      </c>
      <c r="D83" t="s">
        <v>14</v>
      </c>
      <c r="E83" t="s">
        <v>15</v>
      </c>
      <c r="F83" s="1">
        <v>7</v>
      </c>
      <c r="G83">
        <f>VLOOKUP(C83,Master_Targets!$A$2:$B$5,2,0)</f>
        <v>48</v>
      </c>
      <c r="H83" t="str">
        <f t="shared" si="67"/>
        <v>On-Time</v>
      </c>
      <c r="I83" t="str">
        <f t="shared" si="65"/>
        <v>Unique</v>
      </c>
      <c r="J83" t="str">
        <f t="shared" ref="J83:J114" si="82">IF(OR(F83&lt;=0,F83&gt;100),"Error:Check  Data","Valid")</f>
        <v>Valid</v>
      </c>
    </row>
    <row r="84" spans="1:10" x14ac:dyDescent="0.25">
      <c r="A84" t="s">
        <v>106</v>
      </c>
      <c r="B84" t="s">
        <v>16</v>
      </c>
      <c r="C84" t="s">
        <v>17</v>
      </c>
      <c r="D84" t="s">
        <v>14</v>
      </c>
      <c r="E84" t="s">
        <v>18</v>
      </c>
      <c r="F84" s="1">
        <v>8</v>
      </c>
      <c r="G84">
        <f>VLOOKUP(C84,Master_Targets!$A$2:$B$5,2,0)</f>
        <v>4</v>
      </c>
      <c r="H84" t="str">
        <f t="shared" si="67"/>
        <v>Delayed</v>
      </c>
      <c r="I84" t="str">
        <f t="shared" si="65"/>
        <v>Unique</v>
      </c>
      <c r="J84" t="str">
        <f t="shared" ref="J84:J115" si="83">IF(OR(F83&lt;=0,F84&gt;100),"Error:Check Data","Valid")</f>
        <v>Valid</v>
      </c>
    </row>
    <row r="85" spans="1:10" x14ac:dyDescent="0.25">
      <c r="A85" t="s">
        <v>107</v>
      </c>
      <c r="B85" t="s">
        <v>20</v>
      </c>
      <c r="C85" t="s">
        <v>8</v>
      </c>
      <c r="D85" t="s">
        <v>14</v>
      </c>
      <c r="E85" t="s">
        <v>21</v>
      </c>
      <c r="F85" s="1">
        <v>6</v>
      </c>
      <c r="G85">
        <f>VLOOKUP(C85,Master_Targets!$A$2:$B$5,2,0)</f>
        <v>48</v>
      </c>
      <c r="H85" t="str">
        <f t="shared" si="67"/>
        <v>On-Time</v>
      </c>
      <c r="I85" t="str">
        <f t="shared" si="65"/>
        <v>Unique</v>
      </c>
      <c r="J85" t="str">
        <f t="shared" ref="J85:J116" si="84">IF(OR(F85&lt;=0,F85&gt;100),"Error:Check Data","Valid")</f>
        <v>Valid</v>
      </c>
    </row>
    <row r="86" spans="1:10" x14ac:dyDescent="0.25">
      <c r="A86" t="s">
        <v>108</v>
      </c>
      <c r="B86" t="s">
        <v>23</v>
      </c>
      <c r="C86" t="s">
        <v>24</v>
      </c>
      <c r="D86" t="s">
        <v>14</v>
      </c>
      <c r="E86" t="s">
        <v>25</v>
      </c>
      <c r="F86" s="1">
        <v>5</v>
      </c>
      <c r="G86">
        <f>VLOOKUP(C86,Master_Targets!$A$2:$B$5,2,0)</f>
        <v>6</v>
      </c>
      <c r="H86" t="str">
        <f t="shared" si="67"/>
        <v>On-Time</v>
      </c>
      <c r="I86" t="str">
        <f t="shared" si="65"/>
        <v>Unique</v>
      </c>
      <c r="J86" t="str">
        <f t="shared" ref="J86:J117" si="85">IF(OR(F86&lt;=0,F86&gt;100),"Error:Check  Data","Valid")</f>
        <v>Valid</v>
      </c>
    </row>
    <row r="87" spans="1:10" x14ac:dyDescent="0.25">
      <c r="A87" t="s">
        <v>109</v>
      </c>
      <c r="B87" t="s">
        <v>27</v>
      </c>
      <c r="C87" t="s">
        <v>8</v>
      </c>
      <c r="D87" t="s">
        <v>9</v>
      </c>
      <c r="E87" t="s">
        <v>28</v>
      </c>
      <c r="F87" s="1">
        <v>4</v>
      </c>
      <c r="G87">
        <f>VLOOKUP(C87,Master_Targets!$A$2:$B$5,2,0)</f>
        <v>48</v>
      </c>
      <c r="H87" t="str">
        <f t="shared" si="67"/>
        <v>On-Time</v>
      </c>
      <c r="I87" t="str">
        <f t="shared" si="65"/>
        <v>Unique</v>
      </c>
      <c r="J87" t="str">
        <f t="shared" ref="J87:J118" si="86">IF(OR(F86&lt;=0,F87&gt;100),"Error:Check Data","Valid")</f>
        <v>Valid</v>
      </c>
    </row>
    <row r="88" spans="1:10" x14ac:dyDescent="0.25">
      <c r="A88" t="s">
        <v>110</v>
      </c>
      <c r="B88" t="s">
        <v>33</v>
      </c>
      <c r="C88" t="s">
        <v>34</v>
      </c>
      <c r="D88" t="s">
        <v>9</v>
      </c>
      <c r="E88" t="s">
        <v>35</v>
      </c>
      <c r="F88" s="1">
        <v>3</v>
      </c>
      <c r="G88">
        <f>VLOOKUP(C88,Master_Targets!$A$2:$B$5,2,0)</f>
        <v>12</v>
      </c>
      <c r="H88" t="str">
        <f t="shared" si="67"/>
        <v>On-Time</v>
      </c>
      <c r="I88" t="str">
        <f t="shared" si="65"/>
        <v>Unique</v>
      </c>
      <c r="J88" t="str">
        <f t="shared" ref="J88:J119" si="87">IF(OR(F88&lt;=0,F88&gt;100),"Error:Check Data","Valid")</f>
        <v>Valid</v>
      </c>
    </row>
    <row r="89" spans="1:10" x14ac:dyDescent="0.25">
      <c r="A89" t="s">
        <v>0</v>
      </c>
      <c r="B89" t="s">
        <v>36</v>
      </c>
      <c r="C89" t="s">
        <v>8</v>
      </c>
      <c r="D89" t="s">
        <v>14</v>
      </c>
      <c r="E89" t="s">
        <v>37</v>
      </c>
      <c r="F89" s="1">
        <v>2</v>
      </c>
      <c r="G89">
        <f>VLOOKUP(C89,Master_Targets!$A$2:$B$5,2,0)</f>
        <v>48</v>
      </c>
      <c r="H89" t="str">
        <f t="shared" si="67"/>
        <v>On-Time</v>
      </c>
      <c r="I89" t="str">
        <f t="shared" si="65"/>
        <v>Duplicate</v>
      </c>
      <c r="J89" t="str">
        <f t="shared" ref="J89:J120" si="88">IF(OR(F89&lt;=0,F89&gt;100),"Error:Check  Data","Valid")</f>
        <v>Valid</v>
      </c>
    </row>
    <row r="90" spans="1:10" x14ac:dyDescent="0.25">
      <c r="A90" t="s">
        <v>111</v>
      </c>
      <c r="B90" t="s">
        <v>38</v>
      </c>
      <c r="C90" t="s">
        <v>24</v>
      </c>
      <c r="D90" t="s">
        <v>9</v>
      </c>
      <c r="E90" t="s">
        <v>25</v>
      </c>
      <c r="F90" s="1">
        <v>5</v>
      </c>
      <c r="G90">
        <f>VLOOKUP(C90,Master_Targets!$A$2:$B$5,2,0)</f>
        <v>6</v>
      </c>
      <c r="H90" t="str">
        <f t="shared" si="67"/>
        <v>On-Time</v>
      </c>
      <c r="I90" t="str">
        <f t="shared" si="65"/>
        <v>Unique</v>
      </c>
      <c r="J90" t="str">
        <f t="shared" ref="J90:J121" si="89">IF(OR(F89&lt;=0,F90&gt;100),"Error:Check Data","Valid")</f>
        <v>Valid</v>
      </c>
    </row>
    <row r="91" spans="1:10" x14ac:dyDescent="0.25">
      <c r="A91" t="s">
        <v>112</v>
      </c>
      <c r="B91" t="s">
        <v>39</v>
      </c>
      <c r="C91" t="s">
        <v>8</v>
      </c>
      <c r="D91" t="s">
        <v>9</v>
      </c>
      <c r="E91" t="s">
        <v>40</v>
      </c>
      <c r="F91" s="1">
        <v>6</v>
      </c>
      <c r="G91">
        <f>VLOOKUP(C91,Master_Targets!$A$2:$B$5,2,0)</f>
        <v>48</v>
      </c>
      <c r="H91" t="str">
        <f t="shared" si="67"/>
        <v>On-Time</v>
      </c>
      <c r="I91" t="str">
        <f t="shared" si="65"/>
        <v>Unique</v>
      </c>
      <c r="J91" t="str">
        <f t="shared" ref="J91:J122" si="90">IF(OR(F91&lt;=0,F91&gt;100),"Error:Check Data","Valid")</f>
        <v>Valid</v>
      </c>
    </row>
    <row r="92" spans="1:10" x14ac:dyDescent="0.25">
      <c r="A92" t="s">
        <v>113</v>
      </c>
      <c r="B92" t="s">
        <v>7</v>
      </c>
      <c r="C92" t="s">
        <v>8</v>
      </c>
      <c r="D92" t="s">
        <v>9</v>
      </c>
      <c r="E92" t="s">
        <v>10</v>
      </c>
      <c r="F92" s="1">
        <v>7</v>
      </c>
      <c r="G92">
        <f>VLOOKUP(C92,Master_Targets!$A$2:$B$5,2,0)</f>
        <v>48</v>
      </c>
      <c r="H92" t="str">
        <f t="shared" si="67"/>
        <v>On-Time</v>
      </c>
      <c r="I92" t="str">
        <f t="shared" si="65"/>
        <v>Unique</v>
      </c>
      <c r="J92" t="str">
        <f t="shared" ref="J92:J123" si="91">IF(OR(F92&lt;=0,F92&gt;100),"Error:Check  Data","Valid")</f>
        <v>Valid</v>
      </c>
    </row>
    <row r="93" spans="1:10" x14ac:dyDescent="0.25">
      <c r="A93" t="s">
        <v>114</v>
      </c>
      <c r="B93" t="s">
        <v>13</v>
      </c>
      <c r="C93" t="s">
        <v>8</v>
      </c>
      <c r="D93" t="s">
        <v>14</v>
      </c>
      <c r="E93" t="s">
        <v>15</v>
      </c>
      <c r="F93" s="1">
        <v>8</v>
      </c>
      <c r="G93">
        <f>VLOOKUP(C93,Master_Targets!$A$2:$B$5,2,0)</f>
        <v>48</v>
      </c>
      <c r="H93" t="str">
        <f t="shared" si="67"/>
        <v>On-Time</v>
      </c>
      <c r="I93" t="str">
        <f t="shared" si="65"/>
        <v>Unique</v>
      </c>
      <c r="J93" t="str">
        <f t="shared" ref="J93:J124" si="92">IF(OR(F92&lt;=0,F93&gt;100),"Error:Check Data","Valid")</f>
        <v>Valid</v>
      </c>
    </row>
    <row r="94" spans="1:10" x14ac:dyDescent="0.25">
      <c r="A94" t="s">
        <v>115</v>
      </c>
      <c r="B94" t="s">
        <v>16</v>
      </c>
      <c r="C94" t="s">
        <v>17</v>
      </c>
      <c r="D94" t="s">
        <v>14</v>
      </c>
      <c r="E94" t="s">
        <v>18</v>
      </c>
      <c r="F94" s="1">
        <v>47</v>
      </c>
      <c r="G94">
        <f>VLOOKUP(C94,Master_Targets!$A$2:$B$5,2,0)</f>
        <v>4</v>
      </c>
      <c r="H94" t="str">
        <f t="shared" si="67"/>
        <v>Delayed</v>
      </c>
      <c r="I94" t="str">
        <f t="shared" si="65"/>
        <v>Unique</v>
      </c>
      <c r="J94" t="str">
        <f t="shared" ref="J94:J125" si="93">IF(OR(F94&lt;=0,F94&gt;100),"Error:Check Data","Valid")</f>
        <v>Valid</v>
      </c>
    </row>
    <row r="95" spans="1:10" x14ac:dyDescent="0.25">
      <c r="A95" t="s">
        <v>116</v>
      </c>
      <c r="B95" t="s">
        <v>20</v>
      </c>
      <c r="C95" t="s">
        <v>8</v>
      </c>
      <c r="D95" t="s">
        <v>14</v>
      </c>
      <c r="E95" t="s">
        <v>21</v>
      </c>
      <c r="F95" s="1">
        <v>5</v>
      </c>
      <c r="G95">
        <f>VLOOKUP(C95,Master_Targets!$A$2:$B$5,2,0)</f>
        <v>48</v>
      </c>
      <c r="H95" t="str">
        <f t="shared" si="67"/>
        <v>On-Time</v>
      </c>
      <c r="I95" t="str">
        <f t="shared" si="65"/>
        <v>Unique</v>
      </c>
      <c r="J95" t="str">
        <f t="shared" ref="J95:J126" si="94">IF(OR(F95&lt;=0,F95&gt;100),"Error:Check  Data","Valid")</f>
        <v>Valid</v>
      </c>
    </row>
    <row r="96" spans="1:10" x14ac:dyDescent="0.25">
      <c r="A96" t="s">
        <v>117</v>
      </c>
      <c r="B96" t="s">
        <v>23</v>
      </c>
      <c r="C96" t="s">
        <v>24</v>
      </c>
      <c r="D96" t="s">
        <v>14</v>
      </c>
      <c r="E96" t="s">
        <v>25</v>
      </c>
      <c r="F96" s="1">
        <v>37</v>
      </c>
      <c r="G96">
        <f>VLOOKUP(C96,Master_Targets!$A$2:$B$5,2,0)</f>
        <v>6</v>
      </c>
      <c r="H96" t="str">
        <f t="shared" si="67"/>
        <v>Delayed</v>
      </c>
      <c r="I96" t="str">
        <f t="shared" si="65"/>
        <v>Unique</v>
      </c>
      <c r="J96" t="str">
        <f t="shared" ref="J96:J127" si="95">IF(OR(F95&lt;=0,F96&gt;100),"Error:Check Data","Valid")</f>
        <v>Valid</v>
      </c>
    </row>
    <row r="97" spans="1:10" x14ac:dyDescent="0.25">
      <c r="A97" t="s">
        <v>118</v>
      </c>
      <c r="B97" t="s">
        <v>27</v>
      </c>
      <c r="C97" t="s">
        <v>8</v>
      </c>
      <c r="D97" t="s">
        <v>9</v>
      </c>
      <c r="E97" t="s">
        <v>28</v>
      </c>
      <c r="F97" s="1">
        <v>36</v>
      </c>
      <c r="G97">
        <f>VLOOKUP(C97,Master_Targets!$A$2:$B$5,2,0)</f>
        <v>48</v>
      </c>
      <c r="H97" t="str">
        <f t="shared" si="67"/>
        <v>On-Time</v>
      </c>
      <c r="I97" t="str">
        <f t="shared" si="65"/>
        <v>Unique</v>
      </c>
      <c r="J97" t="str">
        <f t="shared" ref="J97:J128" si="96">IF(OR(F97&lt;=0,F97&gt;100),"Error:Check Data","Valid")</f>
        <v>Valid</v>
      </c>
    </row>
    <row r="98" spans="1:10" x14ac:dyDescent="0.25">
      <c r="A98" t="s">
        <v>119</v>
      </c>
      <c r="B98" t="s">
        <v>33</v>
      </c>
      <c r="C98" t="s">
        <v>34</v>
      </c>
      <c r="D98" t="s">
        <v>9</v>
      </c>
      <c r="E98" t="s">
        <v>35</v>
      </c>
      <c r="F98" s="1">
        <v>37</v>
      </c>
      <c r="G98">
        <f>VLOOKUP(C98,Master_Targets!$A$2:$B$5,2,0)</f>
        <v>12</v>
      </c>
      <c r="H98" t="str">
        <f t="shared" si="67"/>
        <v>Delayed</v>
      </c>
      <c r="I98" t="str">
        <f t="shared" si="65"/>
        <v>Unique</v>
      </c>
      <c r="J98" t="str">
        <f t="shared" ref="J98:J129" si="97">IF(OR(F98&lt;=0,F98&gt;100),"Error:Check  Data","Valid")</f>
        <v>Valid</v>
      </c>
    </row>
    <row r="99" spans="1:10" x14ac:dyDescent="0.25">
      <c r="A99" t="s">
        <v>120</v>
      </c>
      <c r="B99" t="s">
        <v>36</v>
      </c>
      <c r="C99" t="s">
        <v>8</v>
      </c>
      <c r="D99" t="s">
        <v>14</v>
      </c>
      <c r="E99" t="s">
        <v>37</v>
      </c>
      <c r="F99" s="1">
        <v>35</v>
      </c>
      <c r="G99">
        <f>VLOOKUP(C99,Master_Targets!$A$2:$B$5,2,0)</f>
        <v>48</v>
      </c>
      <c r="H99" t="str">
        <f t="shared" si="67"/>
        <v>On-Time</v>
      </c>
      <c r="I99" t="str">
        <f t="shared" si="65"/>
        <v>Unique</v>
      </c>
      <c r="J99" t="str">
        <f t="shared" ref="J99:J130" si="98">IF(OR(F98&lt;=0,F99&gt;100),"Error:Check Data","Valid")</f>
        <v>Valid</v>
      </c>
    </row>
    <row r="100" spans="1:10" x14ac:dyDescent="0.25">
      <c r="A100" t="s">
        <v>0</v>
      </c>
      <c r="B100" t="s">
        <v>38</v>
      </c>
      <c r="C100" t="s">
        <v>24</v>
      </c>
      <c r="D100" t="s">
        <v>9</v>
      </c>
      <c r="E100" t="s">
        <v>25</v>
      </c>
      <c r="F100" s="1">
        <v>43</v>
      </c>
      <c r="G100">
        <f>VLOOKUP(C100,Master_Targets!$A$2:$B$5,2,0)</f>
        <v>6</v>
      </c>
      <c r="H100" t="str">
        <f t="shared" si="67"/>
        <v>Delayed</v>
      </c>
      <c r="I100" t="str">
        <f t="shared" si="65"/>
        <v>Duplicate</v>
      </c>
      <c r="J100" t="str">
        <f t="shared" ref="J100:J131" si="99">IF(OR(F100&lt;=0,F100&gt;100),"Error:Check Data","Valid")</f>
        <v>Valid</v>
      </c>
    </row>
    <row r="101" spans="1:10" x14ac:dyDescent="0.25">
      <c r="A101" t="s">
        <v>121</v>
      </c>
      <c r="B101" t="s">
        <v>39</v>
      </c>
      <c r="C101" t="s">
        <v>8</v>
      </c>
      <c r="D101" t="s">
        <v>9</v>
      </c>
      <c r="E101" t="s">
        <v>40</v>
      </c>
      <c r="F101" s="1">
        <v>25</v>
      </c>
      <c r="G101">
        <f>VLOOKUP(C101,Master_Targets!$A$2:$B$5,2,0)</f>
        <v>48</v>
      </c>
      <c r="H101" t="str">
        <f t="shared" si="67"/>
        <v>On-Time</v>
      </c>
      <c r="I101" t="str">
        <f t="shared" si="65"/>
        <v>Unique</v>
      </c>
      <c r="J101" t="str">
        <f t="shared" ref="J101:J132" si="100">IF(OR(F101&lt;=0,F101&gt;100),"Error:Check  Data","Valid")</f>
        <v>Valid</v>
      </c>
    </row>
    <row r="102" spans="1:10" x14ac:dyDescent="0.25">
      <c r="A102" t="s">
        <v>122</v>
      </c>
      <c r="B102" t="s">
        <v>7</v>
      </c>
      <c r="C102" t="s">
        <v>8</v>
      </c>
      <c r="D102" t="s">
        <v>9</v>
      </c>
      <c r="E102" t="s">
        <v>10</v>
      </c>
      <c r="F102" s="1">
        <v>37</v>
      </c>
      <c r="G102">
        <f>VLOOKUP(C102,Master_Targets!$A$2:$B$5,2,0)</f>
        <v>48</v>
      </c>
      <c r="H102" t="str">
        <f t="shared" si="67"/>
        <v>On-Time</v>
      </c>
      <c r="I102" t="str">
        <f t="shared" si="65"/>
        <v>Unique</v>
      </c>
      <c r="J102" t="str">
        <f t="shared" ref="J102:J133" si="101">IF(OR(F101&lt;=0,F102&gt;100),"Error:Check Data","Valid")</f>
        <v>Valid</v>
      </c>
    </row>
    <row r="103" spans="1:10" x14ac:dyDescent="0.25">
      <c r="A103" t="s">
        <v>123</v>
      </c>
      <c r="B103" t="s">
        <v>13</v>
      </c>
      <c r="C103" t="s">
        <v>8</v>
      </c>
      <c r="D103" t="s">
        <v>14</v>
      </c>
      <c r="E103" t="s">
        <v>15</v>
      </c>
      <c r="F103" s="1">
        <v>27</v>
      </c>
      <c r="G103">
        <f>VLOOKUP(C103,Master_Targets!$A$2:$B$5,2,0)</f>
        <v>48</v>
      </c>
      <c r="H103" t="str">
        <f t="shared" si="67"/>
        <v>On-Time</v>
      </c>
      <c r="I103" t="str">
        <f t="shared" si="65"/>
        <v>Unique</v>
      </c>
      <c r="J103" t="str">
        <f t="shared" ref="J103:J150" si="102">IF(OR(F103&lt;=0,F103&gt;100),"Error:Check Data","Valid")</f>
        <v>Valid</v>
      </c>
    </row>
    <row r="104" spans="1:10" x14ac:dyDescent="0.25">
      <c r="A104" t="s">
        <v>124</v>
      </c>
      <c r="B104" t="s">
        <v>16</v>
      </c>
      <c r="C104" t="s">
        <v>17</v>
      </c>
      <c r="D104" t="s">
        <v>14</v>
      </c>
      <c r="E104" t="s">
        <v>18</v>
      </c>
      <c r="F104" s="1">
        <v>38</v>
      </c>
      <c r="G104">
        <f>VLOOKUP(C104,Master_Targets!$A$2:$B$5,2,0)</f>
        <v>4</v>
      </c>
      <c r="H104" t="str">
        <f t="shared" si="67"/>
        <v>Delayed</v>
      </c>
      <c r="I104" t="str">
        <f t="shared" si="65"/>
        <v>Unique</v>
      </c>
      <c r="J104" t="str">
        <f t="shared" ref="J104:J150" si="103">IF(OR(F104&lt;=0,F104&gt;100),"Error:Check  Data","Valid")</f>
        <v>Valid</v>
      </c>
    </row>
    <row r="105" spans="1:10" x14ac:dyDescent="0.25">
      <c r="A105" t="s">
        <v>125</v>
      </c>
      <c r="B105" t="s">
        <v>20</v>
      </c>
      <c r="C105" t="s">
        <v>8</v>
      </c>
      <c r="D105" t="s">
        <v>14</v>
      </c>
      <c r="E105" t="s">
        <v>21</v>
      </c>
      <c r="F105" s="1">
        <v>35</v>
      </c>
      <c r="G105">
        <f>VLOOKUP(C105,Master_Targets!$A$2:$B$5,2,0)</f>
        <v>48</v>
      </c>
      <c r="H105" t="str">
        <f t="shared" si="67"/>
        <v>On-Time</v>
      </c>
      <c r="I105" t="str">
        <f t="shared" si="65"/>
        <v>Unique</v>
      </c>
      <c r="J105" t="str">
        <f t="shared" ref="J105:J150" si="104">IF(OR(F104&lt;=0,F105&gt;100),"Error:Check Data","Valid")</f>
        <v>Valid</v>
      </c>
    </row>
    <row r="106" spans="1:10" x14ac:dyDescent="0.25">
      <c r="A106" t="s">
        <v>126</v>
      </c>
      <c r="B106" t="s">
        <v>23</v>
      </c>
      <c r="C106" t="s">
        <v>24</v>
      </c>
      <c r="D106" t="s">
        <v>14</v>
      </c>
      <c r="E106" t="s">
        <v>25</v>
      </c>
      <c r="F106" s="1">
        <v>6</v>
      </c>
      <c r="G106">
        <f>VLOOKUP(C106,Master_Targets!$A$2:$B$5,2,0)</f>
        <v>6</v>
      </c>
      <c r="H106" t="str">
        <f t="shared" si="67"/>
        <v>On-Time</v>
      </c>
      <c r="I106" t="str">
        <f t="shared" si="65"/>
        <v>Unique</v>
      </c>
      <c r="J106" t="str">
        <f t="shared" ref="J106:J150" si="105">IF(OR(F106&lt;=0,F106&gt;100),"Error:Check Data","Valid")</f>
        <v>Valid</v>
      </c>
    </row>
    <row r="107" spans="1:10" x14ac:dyDescent="0.25">
      <c r="A107" t="s">
        <v>127</v>
      </c>
      <c r="B107" t="s">
        <v>27</v>
      </c>
      <c r="C107" t="s">
        <v>8</v>
      </c>
      <c r="D107" t="s">
        <v>9</v>
      </c>
      <c r="E107" t="s">
        <v>28</v>
      </c>
      <c r="F107" s="1">
        <v>34</v>
      </c>
      <c r="G107">
        <f>VLOOKUP(C107,Master_Targets!$A$2:$B$5,2,0)</f>
        <v>48</v>
      </c>
      <c r="H107" t="str">
        <f t="shared" si="67"/>
        <v>On-Time</v>
      </c>
      <c r="I107" t="str">
        <f t="shared" si="65"/>
        <v>Unique</v>
      </c>
      <c r="J107" t="str">
        <f t="shared" ref="J107:J150" si="106">IF(OR(F107&lt;=0,F107&gt;100),"Error:Check  Data","Valid")</f>
        <v>Valid</v>
      </c>
    </row>
    <row r="108" spans="1:10" x14ac:dyDescent="0.25">
      <c r="A108" t="s">
        <v>128</v>
      </c>
      <c r="B108" t="s">
        <v>33</v>
      </c>
      <c r="C108" t="s">
        <v>34</v>
      </c>
      <c r="D108" t="s">
        <v>9</v>
      </c>
      <c r="E108" t="s">
        <v>35</v>
      </c>
      <c r="F108" s="1">
        <v>12</v>
      </c>
      <c r="G108">
        <f>VLOOKUP(C108,Master_Targets!$A$2:$B$5,2,0)</f>
        <v>12</v>
      </c>
      <c r="H108" t="str">
        <f t="shared" si="67"/>
        <v>On-Time</v>
      </c>
      <c r="I108" t="str">
        <f t="shared" si="65"/>
        <v>Unique</v>
      </c>
      <c r="J108" t="str">
        <f t="shared" ref="J108:J150" si="107">IF(OR(F107&lt;=0,F108&gt;100),"Error:Check Data","Valid")</f>
        <v>Valid</v>
      </c>
    </row>
    <row r="109" spans="1:10" x14ac:dyDescent="0.25">
      <c r="A109" t="s">
        <v>129</v>
      </c>
      <c r="B109" t="s">
        <v>36</v>
      </c>
      <c r="C109" t="s">
        <v>8</v>
      </c>
      <c r="D109" t="s">
        <v>14</v>
      </c>
      <c r="E109" t="s">
        <v>37</v>
      </c>
      <c r="F109" s="1">
        <v>13</v>
      </c>
      <c r="G109">
        <f>VLOOKUP(C109,Master_Targets!$A$2:$B$5,2,0)</f>
        <v>48</v>
      </c>
      <c r="H109" t="str">
        <f t="shared" si="67"/>
        <v>On-Time</v>
      </c>
      <c r="I109" t="str">
        <f t="shared" si="65"/>
        <v>Unique</v>
      </c>
      <c r="J109" t="str">
        <f t="shared" ref="J109:J150" si="108">IF(OR(F109&lt;=0,F109&gt;100),"Error:Check Data","Valid")</f>
        <v>Valid</v>
      </c>
    </row>
    <row r="110" spans="1:10" x14ac:dyDescent="0.25">
      <c r="A110" t="s">
        <v>130</v>
      </c>
      <c r="B110" t="s">
        <v>38</v>
      </c>
      <c r="C110" t="s">
        <v>24</v>
      </c>
      <c r="D110" t="s">
        <v>9</v>
      </c>
      <c r="E110" t="s">
        <v>25</v>
      </c>
      <c r="F110" s="1">
        <v>14</v>
      </c>
      <c r="G110">
        <f>VLOOKUP(C110,Master_Targets!$A$2:$B$5,2,0)</f>
        <v>6</v>
      </c>
      <c r="H110" t="str">
        <f t="shared" si="67"/>
        <v>Delayed</v>
      </c>
      <c r="I110" t="str">
        <f t="shared" si="65"/>
        <v>Unique</v>
      </c>
      <c r="J110" t="str">
        <f t="shared" ref="J110:J150" si="109">IF(OR(F110&lt;=0,F110&gt;100),"Error:Check  Data","Valid")</f>
        <v>Valid</v>
      </c>
    </row>
    <row r="111" spans="1:10" x14ac:dyDescent="0.25">
      <c r="A111" t="s">
        <v>0</v>
      </c>
      <c r="B111" t="s">
        <v>39</v>
      </c>
      <c r="C111" t="s">
        <v>8</v>
      </c>
      <c r="D111" t="s">
        <v>9</v>
      </c>
      <c r="E111" t="s">
        <v>40</v>
      </c>
      <c r="F111" s="1">
        <v>15</v>
      </c>
      <c r="G111">
        <f>VLOOKUP(C111,Master_Targets!$A$2:$B$5,2,0)</f>
        <v>48</v>
      </c>
      <c r="H111" t="str">
        <f t="shared" si="67"/>
        <v>On-Time</v>
      </c>
      <c r="I111" t="str">
        <f t="shared" si="65"/>
        <v>Duplicate</v>
      </c>
      <c r="J111" t="str">
        <f t="shared" ref="J111:J150" si="110">IF(OR(F110&lt;=0,F111&gt;100),"Error:Check Data","Valid")</f>
        <v>Valid</v>
      </c>
    </row>
    <row r="112" spans="1:10" x14ac:dyDescent="0.25">
      <c r="A112" t="s">
        <v>131</v>
      </c>
      <c r="B112" t="s">
        <v>7</v>
      </c>
      <c r="C112" t="s">
        <v>8</v>
      </c>
      <c r="D112" t="s">
        <v>9</v>
      </c>
      <c r="E112" t="s">
        <v>10</v>
      </c>
      <c r="F112" s="1">
        <v>26</v>
      </c>
      <c r="G112">
        <f>VLOOKUP(C112,Master_Targets!$A$2:$B$5,2,0)</f>
        <v>48</v>
      </c>
      <c r="H112" t="str">
        <f t="shared" si="67"/>
        <v>On-Time</v>
      </c>
      <c r="I112" t="str">
        <f t="shared" si="65"/>
        <v>Unique</v>
      </c>
      <c r="J112" t="str">
        <f t="shared" ref="J112:J150" si="111">IF(OR(F112&lt;=0,F112&gt;100),"Error:Check Data","Valid")</f>
        <v>Valid</v>
      </c>
    </row>
    <row r="113" spans="1:10" x14ac:dyDescent="0.25">
      <c r="A113" t="s">
        <v>132</v>
      </c>
      <c r="B113" t="s">
        <v>13</v>
      </c>
      <c r="C113" t="s">
        <v>8</v>
      </c>
      <c r="D113" t="s">
        <v>14</v>
      </c>
      <c r="E113" t="s">
        <v>15</v>
      </c>
      <c r="F113" s="1">
        <v>27</v>
      </c>
      <c r="G113">
        <f>VLOOKUP(C113,Master_Targets!$A$2:$B$5,2,0)</f>
        <v>48</v>
      </c>
      <c r="H113" t="str">
        <f t="shared" si="67"/>
        <v>On-Time</v>
      </c>
      <c r="I113" t="str">
        <f t="shared" si="65"/>
        <v>Unique</v>
      </c>
      <c r="J113" t="str">
        <f t="shared" ref="J113:J150" si="112">IF(OR(F113&lt;=0,F113&gt;100),"Error:Check  Data","Valid")</f>
        <v>Valid</v>
      </c>
    </row>
    <row r="114" spans="1:10" x14ac:dyDescent="0.25">
      <c r="A114" t="s">
        <v>133</v>
      </c>
      <c r="B114" t="s">
        <v>16</v>
      </c>
      <c r="C114" t="s">
        <v>17</v>
      </c>
      <c r="D114" t="s">
        <v>14</v>
      </c>
      <c r="E114" t="s">
        <v>18</v>
      </c>
      <c r="F114" s="1">
        <v>28</v>
      </c>
      <c r="G114">
        <f>VLOOKUP(C114,Master_Targets!$A$2:$B$5,2,0)</f>
        <v>4</v>
      </c>
      <c r="H114" t="str">
        <f t="shared" si="67"/>
        <v>Delayed</v>
      </c>
      <c r="I114" t="str">
        <f t="shared" si="65"/>
        <v>Unique</v>
      </c>
      <c r="J114" t="str">
        <f t="shared" ref="J114:J150" si="113">IF(OR(F113&lt;=0,F114&gt;100),"Error:Check Data","Valid")</f>
        <v>Valid</v>
      </c>
    </row>
    <row r="115" spans="1:10" x14ac:dyDescent="0.25">
      <c r="A115" t="s">
        <v>134</v>
      </c>
      <c r="B115" t="s">
        <v>20</v>
      </c>
      <c r="C115" t="s">
        <v>8</v>
      </c>
      <c r="D115" t="s">
        <v>14</v>
      </c>
      <c r="E115" t="s">
        <v>21</v>
      </c>
      <c r="F115" s="1">
        <v>29</v>
      </c>
      <c r="G115">
        <f>VLOOKUP(C115,Master_Targets!$A$2:$B$5,2,0)</f>
        <v>48</v>
      </c>
      <c r="H115" t="str">
        <f t="shared" si="67"/>
        <v>On-Time</v>
      </c>
      <c r="I115" t="str">
        <f t="shared" si="65"/>
        <v>Unique</v>
      </c>
      <c r="J115" t="str">
        <f t="shared" ref="J115:J150" si="114">IF(OR(F115&lt;=0,F115&gt;100),"Error:Check Data","Valid")</f>
        <v>Valid</v>
      </c>
    </row>
    <row r="116" spans="1:10" x14ac:dyDescent="0.25">
      <c r="A116" t="s">
        <v>135</v>
      </c>
      <c r="B116" t="s">
        <v>23</v>
      </c>
      <c r="C116" t="s">
        <v>24</v>
      </c>
      <c r="D116" t="s">
        <v>14</v>
      </c>
      <c r="E116" t="s">
        <v>25</v>
      </c>
      <c r="F116" s="1">
        <v>47</v>
      </c>
      <c r="G116">
        <f>VLOOKUP(C116,Master_Targets!$A$2:$B$5,2,0)</f>
        <v>6</v>
      </c>
      <c r="H116" t="str">
        <f t="shared" si="67"/>
        <v>Delayed</v>
      </c>
      <c r="I116" t="str">
        <f t="shared" si="65"/>
        <v>Unique</v>
      </c>
      <c r="J116" t="str">
        <f t="shared" ref="J116:J150" si="115">IF(OR(F116&lt;=0,F116&gt;100),"Error:Check  Data","Valid")</f>
        <v>Valid</v>
      </c>
    </row>
    <row r="117" spans="1:10" x14ac:dyDescent="0.25">
      <c r="A117" t="s">
        <v>136</v>
      </c>
      <c r="B117" t="s">
        <v>27</v>
      </c>
      <c r="C117" t="s">
        <v>8</v>
      </c>
      <c r="D117" t="s">
        <v>9</v>
      </c>
      <c r="E117" t="s">
        <v>28</v>
      </c>
      <c r="F117" s="1">
        <v>35</v>
      </c>
      <c r="G117">
        <f>VLOOKUP(C117,Master_Targets!$A$2:$B$5,2,0)</f>
        <v>48</v>
      </c>
      <c r="H117" t="str">
        <f t="shared" si="67"/>
        <v>On-Time</v>
      </c>
      <c r="I117" t="str">
        <f t="shared" si="65"/>
        <v>Unique</v>
      </c>
      <c r="J117" t="str">
        <f t="shared" ref="J117:J150" si="116">IF(OR(F116&lt;=0,F117&gt;100),"Error:Check Data","Valid")</f>
        <v>Valid</v>
      </c>
    </row>
    <row r="118" spans="1:10" x14ac:dyDescent="0.25">
      <c r="A118" t="s">
        <v>137</v>
      </c>
      <c r="B118" t="s">
        <v>33</v>
      </c>
      <c r="C118" t="s">
        <v>34</v>
      </c>
      <c r="D118" t="s">
        <v>9</v>
      </c>
      <c r="E118" t="s">
        <v>35</v>
      </c>
      <c r="F118" s="1">
        <v>43</v>
      </c>
      <c r="G118">
        <f>VLOOKUP(C118,Master_Targets!$A$2:$B$5,2,0)</f>
        <v>12</v>
      </c>
      <c r="H118" t="str">
        <f t="shared" si="67"/>
        <v>Delayed</v>
      </c>
      <c r="I118" t="str">
        <f t="shared" si="65"/>
        <v>Unique</v>
      </c>
      <c r="J118" t="str">
        <f t="shared" ref="J118:J150" si="117">IF(OR(F118&lt;=0,F118&gt;100),"Error:Check Data","Valid")</f>
        <v>Valid</v>
      </c>
    </row>
    <row r="119" spans="1:10" x14ac:dyDescent="0.25">
      <c r="A119" t="s">
        <v>138</v>
      </c>
      <c r="B119" t="s">
        <v>36</v>
      </c>
      <c r="C119" t="s">
        <v>8</v>
      </c>
      <c r="D119" t="s">
        <v>14</v>
      </c>
      <c r="E119" t="s">
        <v>37</v>
      </c>
      <c r="F119" s="1">
        <v>32</v>
      </c>
      <c r="G119">
        <f>VLOOKUP(C119,Master_Targets!$A$2:$B$5,2,0)</f>
        <v>48</v>
      </c>
      <c r="H119" t="str">
        <f t="shared" si="67"/>
        <v>On-Time</v>
      </c>
      <c r="I119" t="str">
        <f t="shared" si="65"/>
        <v>Unique</v>
      </c>
      <c r="J119" t="str">
        <f t="shared" ref="J119:J150" si="118">IF(OR(F119&lt;=0,F119&gt;100),"Error:Check  Data","Valid")</f>
        <v>Valid</v>
      </c>
    </row>
    <row r="120" spans="1:10" x14ac:dyDescent="0.25">
      <c r="A120" t="s">
        <v>139</v>
      </c>
      <c r="B120" t="s">
        <v>38</v>
      </c>
      <c r="C120" t="s">
        <v>24</v>
      </c>
      <c r="D120" t="s">
        <v>9</v>
      </c>
      <c r="E120" t="s">
        <v>25</v>
      </c>
      <c r="F120" s="1">
        <v>31</v>
      </c>
      <c r="G120">
        <f>VLOOKUP(C120,Master_Targets!$A$2:$B$5,2,0)</f>
        <v>6</v>
      </c>
      <c r="H120" t="str">
        <f t="shared" si="67"/>
        <v>Delayed</v>
      </c>
      <c r="I120" t="str">
        <f t="shared" si="65"/>
        <v>Unique</v>
      </c>
      <c r="J120" t="str">
        <f t="shared" ref="J120:J150" si="119">IF(OR(F119&lt;=0,F120&gt;100),"Error:Check Data","Valid")</f>
        <v>Valid</v>
      </c>
    </row>
    <row r="121" spans="1:10" x14ac:dyDescent="0.25">
      <c r="A121" t="s">
        <v>140</v>
      </c>
      <c r="B121" t="s">
        <v>39</v>
      </c>
      <c r="C121" t="s">
        <v>8</v>
      </c>
      <c r="D121" t="s">
        <v>9</v>
      </c>
      <c r="E121" t="s">
        <v>40</v>
      </c>
      <c r="F121" s="1">
        <v>34</v>
      </c>
      <c r="G121">
        <f>VLOOKUP(C121,Master_Targets!$A$2:$B$5,2,0)</f>
        <v>48</v>
      </c>
      <c r="H121" t="str">
        <f t="shared" si="67"/>
        <v>On-Time</v>
      </c>
      <c r="I121" t="str">
        <f t="shared" si="65"/>
        <v>Unique</v>
      </c>
      <c r="J121" t="str">
        <f t="shared" ref="J121:J150" si="120">IF(OR(F121&lt;=0,F121&gt;100),"Error:Check Data","Valid")</f>
        <v>Valid</v>
      </c>
    </row>
    <row r="122" spans="1:10" x14ac:dyDescent="0.25">
      <c r="A122" t="s">
        <v>0</v>
      </c>
      <c r="B122" t="s">
        <v>7</v>
      </c>
      <c r="C122" t="s">
        <v>8</v>
      </c>
      <c r="D122" t="s">
        <v>9</v>
      </c>
      <c r="E122" t="s">
        <v>10</v>
      </c>
      <c r="F122" s="1">
        <v>25</v>
      </c>
      <c r="G122">
        <f>VLOOKUP(C122,Master_Targets!$A$2:$B$5,2,0)</f>
        <v>48</v>
      </c>
      <c r="H122" t="str">
        <f t="shared" si="67"/>
        <v>On-Time</v>
      </c>
      <c r="I122" t="str">
        <f t="shared" si="65"/>
        <v>Duplicate</v>
      </c>
      <c r="J122" t="str">
        <f t="shared" ref="J122:J150" si="121">IF(OR(F122&lt;=0,F122&gt;100),"Error:Check  Data","Valid")</f>
        <v>Valid</v>
      </c>
    </row>
    <row r="123" spans="1:10" x14ac:dyDescent="0.25">
      <c r="A123" t="s">
        <v>141</v>
      </c>
      <c r="B123" t="s">
        <v>13</v>
      </c>
      <c r="C123" t="s">
        <v>8</v>
      </c>
      <c r="D123" t="s">
        <v>14</v>
      </c>
      <c r="E123" t="s">
        <v>15</v>
      </c>
      <c r="F123" s="1">
        <v>26</v>
      </c>
      <c r="G123">
        <f>VLOOKUP(C123,Master_Targets!$A$2:$B$5,2,0)</f>
        <v>48</v>
      </c>
      <c r="H123" t="str">
        <f t="shared" si="67"/>
        <v>On-Time</v>
      </c>
      <c r="I123" t="str">
        <f t="shared" si="65"/>
        <v>Unique</v>
      </c>
      <c r="J123" t="str">
        <f t="shared" ref="J123:J150" si="122">IF(OR(F122&lt;=0,F123&gt;100),"Error:Check Data","Valid")</f>
        <v>Valid</v>
      </c>
    </row>
    <row r="124" spans="1:10" x14ac:dyDescent="0.25">
      <c r="A124" t="s">
        <v>142</v>
      </c>
      <c r="B124" t="s">
        <v>16</v>
      </c>
      <c r="C124" t="s">
        <v>17</v>
      </c>
      <c r="D124" t="s">
        <v>14</v>
      </c>
      <c r="E124" t="s">
        <v>18</v>
      </c>
      <c r="F124" s="1">
        <v>27</v>
      </c>
      <c r="G124">
        <f>VLOOKUP(C124,Master_Targets!$A$2:$B$5,2,0)</f>
        <v>4</v>
      </c>
      <c r="H124" t="str">
        <f t="shared" si="67"/>
        <v>Delayed</v>
      </c>
      <c r="I124" t="str">
        <f t="shared" si="65"/>
        <v>Unique</v>
      </c>
      <c r="J124" t="str">
        <f t="shared" ref="J124:J150" si="123">IF(OR(F124&lt;=0,F124&gt;100),"Error:Check Data","Valid")</f>
        <v>Valid</v>
      </c>
    </row>
    <row r="125" spans="1:10" x14ac:dyDescent="0.25">
      <c r="A125" t="s">
        <v>143</v>
      </c>
      <c r="B125" t="s">
        <v>20</v>
      </c>
      <c r="C125" t="s">
        <v>8</v>
      </c>
      <c r="D125" t="s">
        <v>14</v>
      </c>
      <c r="E125" t="s">
        <v>21</v>
      </c>
      <c r="F125" s="1">
        <v>38</v>
      </c>
      <c r="G125">
        <f>VLOOKUP(C125,Master_Targets!$A$2:$B$5,2,0)</f>
        <v>48</v>
      </c>
      <c r="H125" t="str">
        <f t="shared" si="67"/>
        <v>On-Time</v>
      </c>
      <c r="I125" t="str">
        <f t="shared" si="65"/>
        <v>Unique</v>
      </c>
      <c r="J125" t="str">
        <f t="shared" ref="J125:J150" si="124">IF(OR(F125&lt;=0,F125&gt;100),"Error:Check  Data","Valid")</f>
        <v>Valid</v>
      </c>
    </row>
    <row r="126" spans="1:10" x14ac:dyDescent="0.25">
      <c r="A126" t="s">
        <v>144</v>
      </c>
      <c r="B126" t="s">
        <v>23</v>
      </c>
      <c r="C126" t="s">
        <v>24</v>
      </c>
      <c r="D126" t="s">
        <v>14</v>
      </c>
      <c r="E126" t="s">
        <v>25</v>
      </c>
      <c r="F126" s="1">
        <v>43</v>
      </c>
      <c r="G126">
        <f>VLOOKUP(C126,Master_Targets!$A$2:$B$5,2,0)</f>
        <v>6</v>
      </c>
      <c r="H126" t="str">
        <f t="shared" si="67"/>
        <v>Delayed</v>
      </c>
      <c r="I126" t="str">
        <f t="shared" si="65"/>
        <v>Unique</v>
      </c>
      <c r="J126" t="str">
        <f t="shared" ref="J126:J150" si="125">IF(OR(F125&lt;=0,F126&gt;100),"Error:Check Data","Valid")</f>
        <v>Valid</v>
      </c>
    </row>
    <row r="127" spans="1:10" x14ac:dyDescent="0.25">
      <c r="A127" t="s">
        <v>145</v>
      </c>
      <c r="B127" t="s">
        <v>27</v>
      </c>
      <c r="C127" t="s">
        <v>8</v>
      </c>
      <c r="D127" t="s">
        <v>9</v>
      </c>
      <c r="E127" t="s">
        <v>28</v>
      </c>
      <c r="F127" s="1">
        <v>32</v>
      </c>
      <c r="G127">
        <f>VLOOKUP(C127,Master_Targets!$A$2:$B$5,2,0)</f>
        <v>48</v>
      </c>
      <c r="H127" t="str">
        <f t="shared" si="67"/>
        <v>On-Time</v>
      </c>
      <c r="I127" t="str">
        <f t="shared" si="65"/>
        <v>Unique</v>
      </c>
      <c r="J127" t="str">
        <f t="shared" ref="J127:J150" si="126">IF(OR(F127&lt;=0,F127&gt;100),"Error:Check Data","Valid")</f>
        <v>Valid</v>
      </c>
    </row>
    <row r="128" spans="1:10" x14ac:dyDescent="0.25">
      <c r="A128" t="s">
        <v>146</v>
      </c>
      <c r="B128" t="s">
        <v>33</v>
      </c>
      <c r="C128" t="s">
        <v>34</v>
      </c>
      <c r="D128" t="s">
        <v>9</v>
      </c>
      <c r="E128" t="s">
        <v>35</v>
      </c>
      <c r="F128" s="1">
        <v>31</v>
      </c>
      <c r="G128">
        <f>VLOOKUP(C128,Master_Targets!$A$2:$B$5,2,0)</f>
        <v>12</v>
      </c>
      <c r="H128" t="str">
        <f t="shared" si="67"/>
        <v>Delayed</v>
      </c>
      <c r="I128" t="str">
        <f t="shared" si="65"/>
        <v>Unique</v>
      </c>
      <c r="J128" t="str">
        <f t="shared" ref="J128:J150" si="127">IF(OR(F128&lt;=0,F128&gt;100),"Error:Check  Data","Valid")</f>
        <v>Valid</v>
      </c>
    </row>
    <row r="129" spans="1:19" x14ac:dyDescent="0.25">
      <c r="A129" t="s">
        <v>147</v>
      </c>
      <c r="B129" t="s">
        <v>36</v>
      </c>
      <c r="C129" t="s">
        <v>8</v>
      </c>
      <c r="D129" t="s">
        <v>14</v>
      </c>
      <c r="E129" t="s">
        <v>37</v>
      </c>
      <c r="F129" s="1">
        <v>4</v>
      </c>
      <c r="G129">
        <f>VLOOKUP(C129,Master_Targets!$A$2:$B$5,2,0)</f>
        <v>48</v>
      </c>
      <c r="H129" t="str">
        <f t="shared" si="67"/>
        <v>On-Time</v>
      </c>
      <c r="I129" t="str">
        <f t="shared" si="65"/>
        <v>Unique</v>
      </c>
      <c r="J129" t="str">
        <f t="shared" ref="J129:J150" si="128">IF(OR(F128&lt;=0,F129&gt;100),"Error:Check Data","Valid")</f>
        <v>Valid</v>
      </c>
    </row>
    <row r="130" spans="1:19" x14ac:dyDescent="0.25">
      <c r="A130" t="s">
        <v>148</v>
      </c>
      <c r="B130" t="s">
        <v>38</v>
      </c>
      <c r="C130" t="s">
        <v>24</v>
      </c>
      <c r="D130" t="s">
        <v>9</v>
      </c>
      <c r="E130" t="s">
        <v>25</v>
      </c>
      <c r="F130" s="1">
        <v>5</v>
      </c>
      <c r="G130">
        <f>VLOOKUP(C130,Master_Targets!$A$2:$B$5,2,0)</f>
        <v>6</v>
      </c>
      <c r="H130" t="str">
        <f t="shared" si="67"/>
        <v>On-Time</v>
      </c>
      <c r="I130" t="str">
        <f t="shared" si="65"/>
        <v>Unique</v>
      </c>
      <c r="J130" t="str">
        <f t="shared" ref="J130:J150" si="129">IF(OR(F130&lt;=0,F130&gt;100),"Error:Check Data","Valid")</f>
        <v>Valid</v>
      </c>
    </row>
    <row r="131" spans="1:19" x14ac:dyDescent="0.25">
      <c r="A131" t="s">
        <v>149</v>
      </c>
      <c r="B131" t="s">
        <v>39</v>
      </c>
      <c r="C131" t="s">
        <v>8</v>
      </c>
      <c r="D131" t="s">
        <v>9</v>
      </c>
      <c r="E131" t="s">
        <v>40</v>
      </c>
      <c r="F131" s="1">
        <v>6</v>
      </c>
      <c r="G131">
        <f>VLOOKUP(C131,Master_Targets!$A$2:$B$5,2,0)</f>
        <v>48</v>
      </c>
      <c r="H131" t="str">
        <f t="shared" si="67"/>
        <v>On-Time</v>
      </c>
      <c r="I131" t="str">
        <f t="shared" si="65"/>
        <v>Unique</v>
      </c>
      <c r="J131" t="str">
        <f t="shared" ref="J131:J150" si="130">IF(OR(F131&lt;=0,F131&gt;100),"Error:Check  Data","Valid")</f>
        <v>Valid</v>
      </c>
    </row>
    <row r="132" spans="1:19" x14ac:dyDescent="0.25">
      <c r="A132" t="s">
        <v>150</v>
      </c>
      <c r="B132" t="s">
        <v>7</v>
      </c>
      <c r="C132" t="s">
        <v>8</v>
      </c>
      <c r="D132" t="s">
        <v>9</v>
      </c>
      <c r="E132" t="s">
        <v>10</v>
      </c>
      <c r="F132" s="1">
        <v>7</v>
      </c>
      <c r="G132">
        <f>VLOOKUP(C132,Master_Targets!$A$2:$B$5,2,0)</f>
        <v>48</v>
      </c>
      <c r="H132" t="str">
        <f t="shared" si="67"/>
        <v>On-Time</v>
      </c>
      <c r="I132" t="str">
        <f t="shared" ref="I132:I150" si="131">IF(COUNTIF($A$2:$A$150,A132)&gt;1,"Duplicate","Unique")</f>
        <v>Unique</v>
      </c>
      <c r="J132" t="str">
        <f t="shared" ref="J132:J150" si="132">IF(OR(F131&lt;=0,F132&gt;100),"Error:Check Data","Valid")</f>
        <v>Valid</v>
      </c>
    </row>
    <row r="133" spans="1:19" x14ac:dyDescent="0.25">
      <c r="A133" t="s">
        <v>0</v>
      </c>
      <c r="B133" t="s">
        <v>13</v>
      </c>
      <c r="C133" t="s">
        <v>8</v>
      </c>
      <c r="D133" t="s">
        <v>14</v>
      </c>
      <c r="E133" t="s">
        <v>15</v>
      </c>
      <c r="F133" s="1">
        <v>8</v>
      </c>
      <c r="G133">
        <f>VLOOKUP(C133,Master_Targets!$A$2:$B$5,2,0)</f>
        <v>48</v>
      </c>
      <c r="H133" t="str">
        <f t="shared" ref="H133:H150" si="133">IF(F133&gt;G133,"Delayed","On-Time")</f>
        <v>On-Time</v>
      </c>
      <c r="I133" t="str">
        <f t="shared" si="131"/>
        <v>Duplicate</v>
      </c>
      <c r="J133" t="str">
        <f t="shared" ref="J133:J150" si="134">IF(OR(F133&lt;=0,F133&gt;100),"Error:Check Data","Valid")</f>
        <v>Valid</v>
      </c>
    </row>
    <row r="134" spans="1:19" x14ac:dyDescent="0.25">
      <c r="A134" t="s">
        <v>151</v>
      </c>
      <c r="B134" t="s">
        <v>16</v>
      </c>
      <c r="C134" t="s">
        <v>17</v>
      </c>
      <c r="D134" t="s">
        <v>14</v>
      </c>
      <c r="E134" t="s">
        <v>18</v>
      </c>
      <c r="F134" s="1">
        <v>9</v>
      </c>
      <c r="G134">
        <f>VLOOKUP(C134,Master_Targets!$A$2:$B$5,2,0)</f>
        <v>4</v>
      </c>
      <c r="H134" t="str">
        <f t="shared" si="133"/>
        <v>Delayed</v>
      </c>
      <c r="I134" t="str">
        <f t="shared" si="131"/>
        <v>Unique</v>
      </c>
      <c r="J134" t="str">
        <f t="shared" ref="J134:J150" si="135">IF(OR(F134&lt;=0,F134&gt;100),"Error:Check  Data","Valid")</f>
        <v>Valid</v>
      </c>
    </row>
    <row r="135" spans="1:19" x14ac:dyDescent="0.25">
      <c r="A135" t="s">
        <v>152</v>
      </c>
      <c r="B135" t="s">
        <v>20</v>
      </c>
      <c r="C135" t="s">
        <v>8</v>
      </c>
      <c r="D135" t="s">
        <v>14</v>
      </c>
      <c r="E135" t="s">
        <v>21</v>
      </c>
      <c r="F135" s="1">
        <v>7</v>
      </c>
      <c r="G135">
        <f>VLOOKUP(C135,Master_Targets!$A$2:$B$5,2,0)</f>
        <v>48</v>
      </c>
      <c r="H135" t="str">
        <f t="shared" si="133"/>
        <v>On-Time</v>
      </c>
      <c r="I135" t="str">
        <f t="shared" si="131"/>
        <v>Unique</v>
      </c>
      <c r="J135" t="str">
        <f t="shared" ref="J135:J150" si="136">IF(OR(F134&lt;=0,F135&gt;100),"Error:Check Data","Valid")</f>
        <v>Valid</v>
      </c>
    </row>
    <row r="136" spans="1:19" x14ac:dyDescent="0.25">
      <c r="A136" t="s">
        <v>153</v>
      </c>
      <c r="B136" t="s">
        <v>23</v>
      </c>
      <c r="C136" t="s">
        <v>24</v>
      </c>
      <c r="D136" t="s">
        <v>14</v>
      </c>
      <c r="E136" t="s">
        <v>25</v>
      </c>
      <c r="F136" s="1">
        <v>6</v>
      </c>
      <c r="G136">
        <f>VLOOKUP(C136,Master_Targets!$A$2:$B$5,2,0)</f>
        <v>6</v>
      </c>
      <c r="H136" t="str">
        <f t="shared" si="133"/>
        <v>On-Time</v>
      </c>
      <c r="I136" t="str">
        <f t="shared" si="131"/>
        <v>Unique</v>
      </c>
      <c r="J136" t="str">
        <f t="shared" ref="J136:J150" si="137">IF(OR(F136&lt;=0,F136&gt;100),"Error:Check Data","Valid")</f>
        <v>Valid</v>
      </c>
      <c r="S136" t="s">
        <v>170</v>
      </c>
    </row>
    <row r="137" spans="1:19" x14ac:dyDescent="0.25">
      <c r="A137" t="s">
        <v>154</v>
      </c>
      <c r="B137" t="s">
        <v>27</v>
      </c>
      <c r="C137" t="s">
        <v>8</v>
      </c>
      <c r="D137" t="s">
        <v>9</v>
      </c>
      <c r="E137" t="s">
        <v>28</v>
      </c>
      <c r="F137" s="1">
        <v>5</v>
      </c>
      <c r="G137">
        <f>VLOOKUP(C137,Master_Targets!$A$2:$B$5,2,0)</f>
        <v>48</v>
      </c>
      <c r="H137" t="str">
        <f t="shared" si="133"/>
        <v>On-Time</v>
      </c>
      <c r="I137" t="str">
        <f t="shared" si="131"/>
        <v>Unique</v>
      </c>
      <c r="J137" t="str">
        <f t="shared" ref="J137:J150" si="138">IF(OR(F137&lt;=0,F137&gt;100),"Error:Check  Data","Valid")</f>
        <v>Valid</v>
      </c>
    </row>
    <row r="138" spans="1:19" x14ac:dyDescent="0.25">
      <c r="A138" t="s">
        <v>155</v>
      </c>
      <c r="B138" t="s">
        <v>33</v>
      </c>
      <c r="C138" t="s">
        <v>34</v>
      </c>
      <c r="D138" t="s">
        <v>9</v>
      </c>
      <c r="E138" t="s">
        <v>35</v>
      </c>
      <c r="F138" s="1">
        <v>4</v>
      </c>
      <c r="G138">
        <f>VLOOKUP(C138,Master_Targets!$A$2:$B$5,2,0)</f>
        <v>12</v>
      </c>
      <c r="H138" t="str">
        <f t="shared" si="133"/>
        <v>On-Time</v>
      </c>
      <c r="I138" t="str">
        <f t="shared" si="131"/>
        <v>Unique</v>
      </c>
      <c r="J138" t="str">
        <f t="shared" ref="J138:J150" si="139">IF(OR(F137&lt;=0,F138&gt;100),"Error:Check Data","Valid")</f>
        <v>Valid</v>
      </c>
    </row>
    <row r="139" spans="1:19" x14ac:dyDescent="0.25">
      <c r="A139" t="s">
        <v>156</v>
      </c>
      <c r="B139" t="s">
        <v>36</v>
      </c>
      <c r="C139" t="s">
        <v>8</v>
      </c>
      <c r="D139" t="s">
        <v>14</v>
      </c>
      <c r="E139" t="s">
        <v>37</v>
      </c>
      <c r="F139" s="1">
        <v>5</v>
      </c>
      <c r="G139">
        <f>VLOOKUP(C139,Master_Targets!$A$2:$B$5,2,0)</f>
        <v>48</v>
      </c>
      <c r="H139" t="str">
        <f t="shared" si="133"/>
        <v>On-Time</v>
      </c>
      <c r="I139" t="str">
        <f t="shared" si="131"/>
        <v>Unique</v>
      </c>
      <c r="J139" t="str">
        <f t="shared" ref="J139:J150" si="140">IF(OR(F139&lt;=0,F139&gt;100),"Error:Check Data","Valid")</f>
        <v>Valid</v>
      </c>
    </row>
    <row r="140" spans="1:19" x14ac:dyDescent="0.25">
      <c r="A140" t="s">
        <v>157</v>
      </c>
      <c r="B140" t="s">
        <v>38</v>
      </c>
      <c r="C140" t="s">
        <v>24</v>
      </c>
      <c r="D140" t="s">
        <v>9</v>
      </c>
      <c r="E140" t="s">
        <v>25</v>
      </c>
      <c r="F140" s="1">
        <v>6</v>
      </c>
      <c r="G140">
        <f>VLOOKUP(C140,Master_Targets!$A$2:$B$5,2,0)</f>
        <v>6</v>
      </c>
      <c r="H140" t="str">
        <f t="shared" si="133"/>
        <v>On-Time</v>
      </c>
      <c r="I140" t="str">
        <f t="shared" si="131"/>
        <v>Unique</v>
      </c>
      <c r="J140" t="str">
        <f t="shared" ref="J140:J150" si="141">IF(OR(F140&lt;=0,F140&gt;100),"Error:Check  Data","Valid")</f>
        <v>Valid</v>
      </c>
    </row>
    <row r="141" spans="1:19" x14ac:dyDescent="0.25">
      <c r="A141" t="s">
        <v>158</v>
      </c>
      <c r="B141" t="s">
        <v>39</v>
      </c>
      <c r="C141" t="s">
        <v>8</v>
      </c>
      <c r="D141" t="s">
        <v>9</v>
      </c>
      <c r="E141" t="s">
        <v>40</v>
      </c>
      <c r="F141" s="1">
        <v>7</v>
      </c>
      <c r="G141">
        <f>VLOOKUP(C141,Master_Targets!$A$2:$B$5,2,0)</f>
        <v>48</v>
      </c>
      <c r="H141" t="str">
        <f t="shared" si="133"/>
        <v>On-Time</v>
      </c>
      <c r="I141" t="str">
        <f t="shared" si="131"/>
        <v>Unique</v>
      </c>
      <c r="J141" t="str">
        <f t="shared" ref="J141:J150" si="142">IF(OR(F140&lt;=0,F141&gt;100),"Error:Check Data","Valid")</f>
        <v>Valid</v>
      </c>
    </row>
    <row r="142" spans="1:19" x14ac:dyDescent="0.25">
      <c r="A142" t="s">
        <v>159</v>
      </c>
      <c r="B142" t="s">
        <v>7</v>
      </c>
      <c r="C142" t="s">
        <v>8</v>
      </c>
      <c r="D142" t="s">
        <v>9</v>
      </c>
      <c r="E142" t="s">
        <v>10</v>
      </c>
      <c r="F142" s="1">
        <v>4</v>
      </c>
      <c r="G142">
        <f>VLOOKUP(C142,Master_Targets!$A$2:$B$5,2,0)</f>
        <v>48</v>
      </c>
      <c r="H142" t="str">
        <f t="shared" si="133"/>
        <v>On-Time</v>
      </c>
      <c r="I142" t="str">
        <f t="shared" si="131"/>
        <v>Unique</v>
      </c>
      <c r="J142" t="str">
        <f t="shared" ref="J142:J150" si="143">IF(OR(F142&lt;=0,F142&gt;100),"Error:Check Data","Valid")</f>
        <v>Valid</v>
      </c>
    </row>
    <row r="143" spans="1:19" x14ac:dyDescent="0.25">
      <c r="A143" t="s">
        <v>160</v>
      </c>
      <c r="B143" t="s">
        <v>13</v>
      </c>
      <c r="C143" t="s">
        <v>8</v>
      </c>
      <c r="D143" t="s">
        <v>14</v>
      </c>
      <c r="E143" t="s">
        <v>15</v>
      </c>
      <c r="F143" s="1">
        <v>5</v>
      </c>
      <c r="G143">
        <f>VLOOKUP(C143,Master_Targets!$A$2:$B$5,2,0)</f>
        <v>48</v>
      </c>
      <c r="H143" t="str">
        <f t="shared" si="133"/>
        <v>On-Time</v>
      </c>
      <c r="I143" t="str">
        <f t="shared" si="131"/>
        <v>Unique</v>
      </c>
      <c r="J143" t="str">
        <f t="shared" ref="J143:J150" si="144">IF(OR(F143&lt;=0,F143&gt;100),"Error:Check  Data","Valid")</f>
        <v>Valid</v>
      </c>
    </row>
    <row r="144" spans="1:19" x14ac:dyDescent="0.25">
      <c r="A144" t="s">
        <v>0</v>
      </c>
      <c r="B144" t="s">
        <v>16</v>
      </c>
      <c r="C144" t="s">
        <v>17</v>
      </c>
      <c r="D144" t="s">
        <v>14</v>
      </c>
      <c r="E144" t="s">
        <v>18</v>
      </c>
      <c r="F144" s="1">
        <v>5</v>
      </c>
      <c r="G144">
        <f>VLOOKUP(C144,Master_Targets!$A$2:$B$5,2,0)</f>
        <v>4</v>
      </c>
      <c r="H144" t="str">
        <f t="shared" si="133"/>
        <v>Delayed</v>
      </c>
      <c r="I144" t="str">
        <f t="shared" si="131"/>
        <v>Duplicate</v>
      </c>
      <c r="J144" t="str">
        <f t="shared" ref="J144:J150" si="145">IF(OR(F143&lt;=0,F144&gt;100),"Error:Check Data","Valid")</f>
        <v>Valid</v>
      </c>
    </row>
    <row r="145" spans="1:10" x14ac:dyDescent="0.25">
      <c r="A145" t="s">
        <v>161</v>
      </c>
      <c r="B145" t="s">
        <v>20</v>
      </c>
      <c r="C145" t="s">
        <v>8</v>
      </c>
      <c r="D145" t="s">
        <v>14</v>
      </c>
      <c r="E145" t="s">
        <v>21</v>
      </c>
      <c r="F145" s="1">
        <v>26</v>
      </c>
      <c r="G145">
        <f>VLOOKUP(C145,Master_Targets!$A$2:$B$5,2,0)</f>
        <v>48</v>
      </c>
      <c r="H145" t="str">
        <f t="shared" si="133"/>
        <v>On-Time</v>
      </c>
      <c r="I145" t="str">
        <f t="shared" si="131"/>
        <v>Unique</v>
      </c>
      <c r="J145" t="str">
        <f t="shared" ref="J145:J150" si="146">IF(OR(F145&lt;=0,F145&gt;100),"Error:Check Data","Valid")</f>
        <v>Valid</v>
      </c>
    </row>
    <row r="146" spans="1:10" x14ac:dyDescent="0.25">
      <c r="A146" t="s">
        <v>162</v>
      </c>
      <c r="B146" t="s">
        <v>23</v>
      </c>
      <c r="C146" t="s">
        <v>24</v>
      </c>
      <c r="D146" t="s">
        <v>14</v>
      </c>
      <c r="E146" t="s">
        <v>25</v>
      </c>
      <c r="F146" s="1">
        <v>36</v>
      </c>
      <c r="G146">
        <f>VLOOKUP(C146,Master_Targets!$A$2:$B$5,2,0)</f>
        <v>6</v>
      </c>
      <c r="H146" t="str">
        <f t="shared" si="133"/>
        <v>Delayed</v>
      </c>
      <c r="I146" t="str">
        <f t="shared" si="131"/>
        <v>Unique</v>
      </c>
      <c r="J146" t="str">
        <f t="shared" ref="J146:J150" si="147">IF(OR(F146&lt;=0,F146&gt;100),"Error:Check  Data","Valid")</f>
        <v>Valid</v>
      </c>
    </row>
    <row r="147" spans="1:10" x14ac:dyDescent="0.25">
      <c r="A147" t="s">
        <v>163</v>
      </c>
      <c r="B147" t="s">
        <v>27</v>
      </c>
      <c r="C147" t="s">
        <v>8</v>
      </c>
      <c r="D147" t="s">
        <v>9</v>
      </c>
      <c r="E147" t="s">
        <v>28</v>
      </c>
      <c r="F147" s="1">
        <v>48</v>
      </c>
      <c r="G147">
        <f>VLOOKUP(C147,Master_Targets!$A$2:$B$5,2,0)</f>
        <v>48</v>
      </c>
      <c r="H147" t="str">
        <f t="shared" si="133"/>
        <v>On-Time</v>
      </c>
      <c r="I147" t="str">
        <f t="shared" si="131"/>
        <v>Unique</v>
      </c>
      <c r="J147" t="str">
        <f t="shared" ref="J147:J150" si="148">IF(OR(F146&lt;=0,F147&gt;100),"Error:Check Data","Valid")</f>
        <v>Valid</v>
      </c>
    </row>
    <row r="148" spans="1:10" x14ac:dyDescent="0.25">
      <c r="A148" t="s">
        <v>164</v>
      </c>
      <c r="B148" t="s">
        <v>33</v>
      </c>
      <c r="C148" t="s">
        <v>34</v>
      </c>
      <c r="D148" t="s">
        <v>9</v>
      </c>
      <c r="E148" t="s">
        <v>35</v>
      </c>
      <c r="F148" s="1">
        <v>36</v>
      </c>
      <c r="G148">
        <f>VLOOKUP(C148,Master_Targets!$A$2:$B$5,2,0)</f>
        <v>12</v>
      </c>
      <c r="H148" t="str">
        <f t="shared" si="133"/>
        <v>Delayed</v>
      </c>
      <c r="I148" t="str">
        <f t="shared" si="131"/>
        <v>Unique</v>
      </c>
      <c r="J148" t="str">
        <f t="shared" ref="J148:J150" si="149">IF(OR(F148&lt;=0,F148&gt;100),"Error:Check Data","Valid")</f>
        <v>Valid</v>
      </c>
    </row>
    <row r="149" spans="1:10" x14ac:dyDescent="0.25">
      <c r="A149" t="s">
        <v>165</v>
      </c>
      <c r="B149" t="s">
        <v>36</v>
      </c>
      <c r="C149" t="s">
        <v>8</v>
      </c>
      <c r="D149" t="s">
        <v>14</v>
      </c>
      <c r="E149" t="s">
        <v>37</v>
      </c>
      <c r="F149" s="1">
        <v>37</v>
      </c>
      <c r="G149">
        <f>VLOOKUP(C149,Master_Targets!$A$2:$B$5,2,0)</f>
        <v>48</v>
      </c>
      <c r="H149" t="str">
        <f t="shared" si="133"/>
        <v>On-Time</v>
      </c>
      <c r="I149" t="str">
        <f t="shared" si="131"/>
        <v>Unique</v>
      </c>
      <c r="J149" t="str">
        <f t="shared" ref="J149:J150" si="150">IF(OR(F149&lt;=0,F149&gt;100),"Error:Check  Data","Valid")</f>
        <v>Valid</v>
      </c>
    </row>
    <row r="150" spans="1:10" x14ac:dyDescent="0.25">
      <c r="A150" t="s">
        <v>166</v>
      </c>
      <c r="B150" t="s">
        <v>38</v>
      </c>
      <c r="C150" t="s">
        <v>24</v>
      </c>
      <c r="D150" t="s">
        <v>9</v>
      </c>
      <c r="E150" t="s">
        <v>25</v>
      </c>
      <c r="F150" s="1">
        <v>5</v>
      </c>
      <c r="G150">
        <f>VLOOKUP(C150,Master_Targets!$A$2:$B$5,2,0)</f>
        <v>6</v>
      </c>
      <c r="H150" t="str">
        <f t="shared" si="133"/>
        <v>On-Time</v>
      </c>
      <c r="I150" t="str">
        <f t="shared" si="131"/>
        <v>Unique</v>
      </c>
      <c r="J150" t="str">
        <f t="shared" ref="J150" si="151">IF(OR(F149&lt;=0,F150&gt;100),"Error:Check Data","Valid")</f>
        <v>Valid</v>
      </c>
    </row>
  </sheetData>
  <conditionalFormatting sqref="H1:H1048576 I1:J1">
    <cfRule type="containsText" dxfId="4" priority="4" operator="containsText" text="Delayed">
      <formula>NOT(ISERROR(SEARCH("Delayed",H1)))</formula>
    </cfRule>
  </conditionalFormatting>
  <conditionalFormatting sqref="I1:I1048576">
    <cfRule type="containsText" dxfId="3" priority="3" operator="containsText" text="Duplicate">
      <formula>NOT(ISERROR(SEARCH("Duplicate",I1)))</formula>
    </cfRule>
  </conditionalFormatting>
  <conditionalFormatting sqref="J1:J1048576">
    <cfRule type="containsText" dxfId="1" priority="2" operator="containsText" text="Data_Error_Check">
      <formula>NOT(ISERROR(SEARCH("Data_Error_Check",J1)))</formula>
    </cfRule>
    <cfRule type="containsText" dxfId="2" priority="1" operator="containsText" text="&quot;Error&quot;">
      <formula>NOT(ISERROR(SEARCH("""Error""",J1)))</formula>
    </cfRule>
  </conditionalFormatting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9" sqref="B9"/>
    </sheetView>
  </sheetViews>
  <sheetFormatPr defaultRowHeight="15" x14ac:dyDescent="0.25"/>
  <cols>
    <col min="1" max="1" width="13.85546875" customWidth="1"/>
    <col min="2" max="2" width="23.7109375" customWidth="1"/>
  </cols>
  <sheetData>
    <row r="1" spans="1:2" x14ac:dyDescent="0.25">
      <c r="A1" t="s">
        <v>2</v>
      </c>
      <c r="B1" t="s">
        <v>167</v>
      </c>
    </row>
    <row r="2" spans="1:2" x14ac:dyDescent="0.25">
      <c r="A2" t="s">
        <v>8</v>
      </c>
      <c r="B2">
        <v>48</v>
      </c>
    </row>
    <row r="3" spans="1:2" x14ac:dyDescent="0.25">
      <c r="A3" t="s">
        <v>17</v>
      </c>
      <c r="B3">
        <v>4</v>
      </c>
    </row>
    <row r="4" spans="1:2" x14ac:dyDescent="0.25">
      <c r="A4" t="s">
        <v>24</v>
      </c>
      <c r="B4">
        <v>6</v>
      </c>
    </row>
    <row r="5" spans="1:2" x14ac:dyDescent="0.25">
      <c r="A5" t="s">
        <v>34</v>
      </c>
      <c r="B5">
        <v>12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D30" sqref="D30"/>
    </sheetView>
  </sheetViews>
  <sheetFormatPr defaultRowHeight="15" x14ac:dyDescent="0.25"/>
  <cols>
    <col min="1" max="1" width="13.85546875" customWidth="1"/>
    <col min="2" max="2" width="20.28515625" customWidth="1"/>
    <col min="3" max="3" width="23.140625" customWidth="1"/>
    <col min="4" max="4" width="19.42578125" customWidth="1"/>
    <col min="5" max="5" width="15.28515625" customWidth="1"/>
    <col min="6" max="6" width="15.42578125" customWidth="1"/>
  </cols>
  <sheetData>
    <row r="1" spans="1:4" x14ac:dyDescent="0.25">
      <c r="A1" t="s">
        <v>2</v>
      </c>
      <c r="B1" t="s">
        <v>171</v>
      </c>
      <c r="C1" t="s">
        <v>172</v>
      </c>
      <c r="D1" t="s">
        <v>173</v>
      </c>
    </row>
    <row r="2" spans="1:4" x14ac:dyDescent="0.25">
      <c r="A2" t="s">
        <v>8</v>
      </c>
      <c r="B2">
        <f>SUMIFS(Lab_Diagnostics_TAT_Project!$F$2:$F$150,Lab_Diagnostics_TAT_Project!$C$2:$C$150,A2)</f>
        <v>1734</v>
      </c>
      <c r="C2">
        <f>AVERAGEIFS(Lab_Diagnostics_TAT_Project!$F$2:$F$150,Lab_Diagnostics_TAT_Project!$C$2:$C$150,A2)</f>
        <v>19.483146067415731</v>
      </c>
      <c r="D2">
        <f>COUNTIFS(Lab_Diagnostics_TAT_Project!$C$2:$C$150,A2)</f>
        <v>89</v>
      </c>
    </row>
    <row r="3" spans="1:4" x14ac:dyDescent="0.25">
      <c r="A3" t="s">
        <v>17</v>
      </c>
      <c r="B3">
        <f>SUMIFS(Lab_Diagnostics_TAT_Project!$F$2:$F$150,Lab_Diagnostics_TAT_Project!$C$2:$C$150,A3)</f>
        <v>384</v>
      </c>
      <c r="C3">
        <f>AVERAGEIFS(Lab_Diagnostics_TAT_Project!$F$2:$F$150,Lab_Diagnostics_TAT_Project!$C$2:$C$150,A3)</f>
        <v>25.6</v>
      </c>
      <c r="D3">
        <f>COUNTIFS(Lab_Diagnostics_TAT_Project!$C$2:$C$150,A3)</f>
        <v>15</v>
      </c>
    </row>
    <row r="4" spans="1:4" x14ac:dyDescent="0.25">
      <c r="A4" t="s">
        <v>24</v>
      </c>
      <c r="B4">
        <f>SUMIFS(Lab_Diagnostics_TAT_Project!$F$2:$F$150,Lab_Diagnostics_TAT_Project!$C$2:$C$150,A4)</f>
        <v>631</v>
      </c>
      <c r="C4">
        <f>AVERAGEIFS(Lab_Diagnostics_TAT_Project!$F$2:$F$150,Lab_Diagnostics_TAT_Project!$C$2:$C$150,A4)</f>
        <v>21.033333333333335</v>
      </c>
      <c r="D4">
        <f>COUNTIFS(Lab_Diagnostics_TAT_Project!$C$2:$C$150,A4)</f>
        <v>30</v>
      </c>
    </row>
    <row r="5" spans="1:4" x14ac:dyDescent="0.25">
      <c r="A5" t="s">
        <v>34</v>
      </c>
      <c r="B5">
        <f>SUMIFS(Lab_Diagnostics_TAT_Project!$F$2:$F$150,Lab_Diagnostics_TAT_Project!$C$2:$C$150,A5)</f>
        <v>287</v>
      </c>
      <c r="C5">
        <f>AVERAGEIFS(Lab_Diagnostics_TAT_Project!$F$2:$F$150,Lab_Diagnostics_TAT_Project!$C$2:$C$150,A5)</f>
        <v>19.133333333333333</v>
      </c>
      <c r="D5">
        <f>COUNTIFS(Lab_Diagnostics_TAT_Project!$C$2:$C$150,A5)</f>
        <v>15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9"/>
  <sheetViews>
    <sheetView workbookViewId="0">
      <selection activeCell="I18" sqref="I18"/>
    </sheetView>
  </sheetViews>
  <sheetFormatPr defaultRowHeight="15" x14ac:dyDescent="0.25"/>
  <cols>
    <col min="1" max="1" width="13.140625" customWidth="1"/>
    <col min="2" max="2" width="24" customWidth="1"/>
    <col min="3" max="3" width="24.7109375" customWidth="1"/>
  </cols>
  <sheetData>
    <row r="3" spans="1:3" x14ac:dyDescent="0.25">
      <c r="A3" s="11" t="s">
        <v>174</v>
      </c>
      <c r="B3" t="s">
        <v>177</v>
      </c>
      <c r="C3" t="s">
        <v>178</v>
      </c>
    </row>
    <row r="4" spans="1:3" x14ac:dyDescent="0.25">
      <c r="A4" s="12" t="s">
        <v>24</v>
      </c>
      <c r="B4" s="13">
        <v>48</v>
      </c>
      <c r="C4" s="13">
        <v>3</v>
      </c>
    </row>
    <row r="5" spans="1:3" x14ac:dyDescent="0.25">
      <c r="A5" s="12" t="s">
        <v>17</v>
      </c>
      <c r="B5" s="13">
        <v>52</v>
      </c>
      <c r="C5" s="13">
        <v>3</v>
      </c>
    </row>
    <row r="6" spans="1:3" x14ac:dyDescent="0.25">
      <c r="A6" s="12" t="s">
        <v>8</v>
      </c>
      <c r="B6" s="13">
        <v>52</v>
      </c>
      <c r="C6" s="13">
        <v>2</v>
      </c>
    </row>
    <row r="7" spans="1:3" x14ac:dyDescent="0.25">
      <c r="A7" s="12" t="s">
        <v>34</v>
      </c>
      <c r="B7" s="13">
        <v>43</v>
      </c>
      <c r="C7" s="13">
        <v>3</v>
      </c>
    </row>
    <row r="8" spans="1:3" x14ac:dyDescent="0.25">
      <c r="A8" s="12" t="s">
        <v>175</v>
      </c>
      <c r="B8" s="13"/>
      <c r="C8" s="13"/>
    </row>
    <row r="9" spans="1:3" x14ac:dyDescent="0.25">
      <c r="A9" s="12" t="s">
        <v>176</v>
      </c>
      <c r="B9" s="13">
        <v>52</v>
      </c>
      <c r="C9" s="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Chart_Workload</vt:lpstr>
      <vt:lpstr>Chart_TAT_Gap</vt:lpstr>
      <vt:lpstr>Chart_Urgency_Share</vt:lpstr>
      <vt:lpstr>Chart_Sample_TAT</vt:lpstr>
      <vt:lpstr>Lab_Diagnostics_TAT_Project</vt:lpstr>
      <vt:lpstr>Master_Targets</vt:lpstr>
      <vt:lpstr>Analysis_KPI</vt:lpstr>
      <vt:lpstr>Pivot Analysis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2026-07-16T10:50:35Z</dcterms:created>
  <dcterms:modified xsi:type="dcterms:W3CDTF">2026-07-16T17:55:43Z</dcterms:modified>
</cp:coreProperties>
</file>